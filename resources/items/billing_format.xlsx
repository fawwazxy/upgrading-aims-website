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Sheet1!$A$5:$O$5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" i="1" l="1"/>
  <c r="K30" i="1"/>
  <c r="K27" i="1"/>
  <c r="K14" i="1"/>
  <c r="K13" i="1"/>
  <c r="K12" i="1"/>
  <c r="K11" i="1"/>
  <c r="K10" i="1"/>
  <c r="K7" i="1"/>
  <c r="K6" i="1"/>
  <c r="E35" i="1" l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<sst xmlns="http://schemas.openxmlformats.org/spreadsheetml/2006/main" count="303" uniqueCount="144">
  <si>
    <t>JOB NO</t>
  </si>
  <si>
    <t>CLAIM TO</t>
  </si>
  <si>
    <t>COMPANY</t>
  </si>
  <si>
    <t>NTI NO</t>
  </si>
  <si>
    <t>DATE PREPARED</t>
  </si>
  <si>
    <t>VESSEL</t>
  </si>
  <si>
    <t>DESCRIPTION</t>
  </si>
  <si>
    <t>TERM OF PAYMENT</t>
  </si>
  <si>
    <t>FROM DATE MOVEMENT</t>
  </si>
  <si>
    <t>TO DATE MOVEMENT</t>
  </si>
  <si>
    <t>AMOUNT INVOICE</t>
  </si>
  <si>
    <t>SST</t>
  </si>
  <si>
    <t>AMOUNT CREDIT NOTE</t>
  </si>
  <si>
    <t>AMOUNT DEBIT NOTE</t>
  </si>
  <si>
    <t>PO NO</t>
  </si>
  <si>
    <t>AGMHESB</t>
  </si>
  <si>
    <t>AGMSB</t>
  </si>
  <si>
    <t>DJ MARINE SERVICES</t>
  </si>
  <si>
    <t>FLEX FLET</t>
  </si>
  <si>
    <t>AGHSB</t>
  </si>
  <si>
    <t>AGESB</t>
  </si>
  <si>
    <t>AGIRSB</t>
  </si>
  <si>
    <t>AVSB</t>
  </si>
  <si>
    <t>MAHSB</t>
  </si>
  <si>
    <t>CLIENT</t>
  </si>
  <si>
    <t>PDB</t>
  </si>
  <si>
    <t>EMEPMI</t>
  </si>
  <si>
    <t>PCSB</t>
  </si>
  <si>
    <t>BEYOND VERTICAL SDN. BHD.</t>
  </si>
  <si>
    <t>SINOCHARM</t>
  </si>
  <si>
    <t>SMC MARINE MANAGEMENT</t>
  </si>
  <si>
    <t>EXXON</t>
  </si>
  <si>
    <t>AIMS GLOBAL ENGINEERING SDN BHD</t>
  </si>
  <si>
    <t>PETRONAS CARIGALI SDN BHD</t>
  </si>
  <si>
    <t>EA TECHNIQUE (M) BERHAD</t>
  </si>
  <si>
    <t>MSET SHIPBUILDING CORPORATION SDN BHD</t>
  </si>
  <si>
    <t>AGMA(BS)/005/17(006)</t>
  </si>
  <si>
    <t>AGESB/PRO/002/19(003)</t>
  </si>
  <si>
    <t>30 DAYS</t>
  </si>
  <si>
    <t>SINOCHARM HOLDINGS</t>
  </si>
  <si>
    <t>PETRO HULU</t>
  </si>
  <si>
    <t>HAMDAN ABDULLAH</t>
  </si>
  <si>
    <t>02.01.2022</t>
  </si>
  <si>
    <t>03.01.2022</t>
  </si>
  <si>
    <t>04.01.2022</t>
  </si>
  <si>
    <t>05.01.2022</t>
  </si>
  <si>
    <t>06.01.2022</t>
  </si>
  <si>
    <t>09.01.2022</t>
  </si>
  <si>
    <t>10.01.2022</t>
  </si>
  <si>
    <t>11.01.2022</t>
  </si>
  <si>
    <t>ALKAHFI COURAGE</t>
  </si>
  <si>
    <t>JATI SIX</t>
  </si>
  <si>
    <t>NAUTICA LANGSAT</t>
  </si>
  <si>
    <t>NTP 30</t>
  </si>
  <si>
    <t>AA3</t>
  </si>
  <si>
    <t>ALIYA SARI</t>
  </si>
  <si>
    <t>ALKAHFI CARE</t>
  </si>
  <si>
    <t>AA1</t>
  </si>
  <si>
    <t>PELICAN CHEER</t>
  </si>
  <si>
    <t>PH RAINBOW</t>
  </si>
  <si>
    <t>LIBARAN</t>
  </si>
  <si>
    <t>JATI FIVE</t>
  </si>
  <si>
    <t>CENTUS NINE</t>
  </si>
  <si>
    <t>SRIBIMA (M) SHIPPING</t>
  </si>
  <si>
    <t>SEE SONG &amp; SONS</t>
  </si>
  <si>
    <t>HAMUDI MARINE &amp; SERVICES</t>
  </si>
  <si>
    <t>TIN22/B005-001</t>
  </si>
  <si>
    <t>TIN22/B005-002</t>
  </si>
  <si>
    <t>TIN22/P003-003</t>
  </si>
  <si>
    <t>TIN22/B009-004</t>
  </si>
  <si>
    <t>TIN22/B005-005</t>
  </si>
  <si>
    <t>TIN22/B005-006</t>
  </si>
  <si>
    <t>TIN22/B005-007</t>
  </si>
  <si>
    <t>TIN22/B005-008</t>
  </si>
  <si>
    <t>TIN22/B005-009</t>
  </si>
  <si>
    <t>TIN22/H002-010</t>
  </si>
  <si>
    <t>TIN22/P010-011</t>
  </si>
  <si>
    <t>TIN22/P010-012</t>
  </si>
  <si>
    <t>TIN22/H009-013</t>
  </si>
  <si>
    <t>TIN22/PRO016-014</t>
  </si>
  <si>
    <t>TIN22/P013-015</t>
  </si>
  <si>
    <t>TIN22/P012-016</t>
  </si>
  <si>
    <t>TIN22/B010-017</t>
  </si>
  <si>
    <t>TIN22/P004-018</t>
  </si>
  <si>
    <t>TIN22/P004-019</t>
  </si>
  <si>
    <t>TIN22/H002-020</t>
  </si>
  <si>
    <t>TIN22/H002-021</t>
  </si>
  <si>
    <t>TIN22/PRO002-022</t>
  </si>
  <si>
    <t>TIN22/P004-023</t>
  </si>
  <si>
    <t>TIN22/PRO002-024</t>
  </si>
  <si>
    <t>TIN22/B005-025</t>
  </si>
  <si>
    <t>TIN22/P003-026</t>
  </si>
  <si>
    <t>TIN22/H001-027</t>
  </si>
  <si>
    <t>TIN22/H002-028</t>
  </si>
  <si>
    <t>TIN22/P004-029</t>
  </si>
  <si>
    <t>TIN22/B005-030</t>
  </si>
  <si>
    <t>AGMA(PMS)/003/22(004)</t>
  </si>
  <si>
    <t>AGMA(BS)/009/22(025)</t>
  </si>
  <si>
    <t>AGMA(HUS)/002/22(006)</t>
  </si>
  <si>
    <t>AGMA(PMS)/010/22(028)</t>
  </si>
  <si>
    <t>AGMA(HUS)/009/22(029)</t>
  </si>
  <si>
    <t>AGMHESB/PRO/016/22(016)</t>
  </si>
  <si>
    <t>AGMA(PMS)/013/18(028)</t>
  </si>
  <si>
    <t>AGMA(PMS)/012/16(027)</t>
  </si>
  <si>
    <t>AGMA(BS)/010/22(026)</t>
  </si>
  <si>
    <t>AGMA(PMS)/004/22(005)</t>
  </si>
  <si>
    <t>AGMA(HUS)/001/22(003)</t>
  </si>
  <si>
    <t>SUMAI SETIA</t>
  </si>
  <si>
    <t>RIZQIN</t>
  </si>
  <si>
    <t>BIMA LIMA</t>
  </si>
  <si>
    <t>KRESNA RAYA</t>
  </si>
  <si>
    <t>NTP, ALC &amp; C9</t>
  </si>
  <si>
    <t>NTP, ALC, LIB &amp; C9</t>
  </si>
  <si>
    <t>FUEL (MGO) 35,000 LITERS (04.01.2022) -THROUGHPUT</t>
  </si>
  <si>
    <t>FUEL (MGO) 25,000 LITERS (04.01.2022) -THROUGHPUT</t>
  </si>
  <si>
    <t>PROVISION OF JETTY SUPPORT SERVICES &amp; ASSOCIATED SERVICES AT PDJT, KT (01.01.2022-02.01.2022)</t>
  </si>
  <si>
    <t>DIESEL (200 LITERS) PO NO : 043393 (02.01.2022)</t>
  </si>
  <si>
    <t>FUEL (MGO) 20,000 LITERS (05.01.2022) -THROUGHPUT</t>
  </si>
  <si>
    <t>FUEL (MGO) 23,000 LITERS (05.01.2022) -THROUGHPUT</t>
  </si>
  <si>
    <t>FUEL (MGO) 60,000 LITERS (06.01.2022) -THROUGHPUT</t>
  </si>
  <si>
    <t>FUEL (MGO) 20,000 LITERS (06.01.2022) -THROUGHPUT</t>
  </si>
  <si>
    <t>FUEL (MGO) 50,000 LITERS (07.01.2022) -THROUGHPUT</t>
  </si>
  <si>
    <t>CREWING, IMMIGRATION AND HANDLING SERVICES (03.01.2022)</t>
  </si>
  <si>
    <t>PROVISION OF JETTY SUPPORT SERVICES &amp; ASSOCIATED SERVICES AT PDJT, KT (04.01.2022)</t>
  </si>
  <si>
    <t>CREWING, IMMIGRATION AND HANDLING SERVICES (25.09.2017)</t>
  </si>
  <si>
    <t>VESSEL HIT AND BREAKING JETTY BUNKER BY KRESNA RAYA AT PDSC</t>
  </si>
  <si>
    <t>PORT MANAGEMENT SERVICES : 31.07.2016, 09.08.2016 &amp; 15.08.2016</t>
  </si>
  <si>
    <t>BUNKER SUPPLY AT PDSC, KT. (11.01.2022)</t>
  </si>
  <si>
    <t>PROVISION OF JETTY SUPPORT SERVICES &amp; ASSOCIATED SERVICES AT PDJT, KT (09.01.2022)</t>
  </si>
  <si>
    <t>PROVISION OF JETTY SUPPORT SERVICES &amp; ASSOCIATED SERVICES AT PDJT, KT (06.01.2022)</t>
  </si>
  <si>
    <t>CREWING, IMMIGRATION AND HANDLING SERVICES (04.01.2022)</t>
  </si>
  <si>
    <t>BAGGAGE HANDLER SERVICES CHARGES (01.01.2022-10.01.2022) (759 PAX)</t>
  </si>
  <si>
    <t>VML 01.01.2022-10.01.2022</t>
  </si>
  <si>
    <t>FUEL (MGO) 20,000 LITERS (11.01.2022) -THROUGHPUT</t>
  </si>
  <si>
    <t>PROVISION OF JETTY SUPPORT SERVICES &amp; ASSOCIATED SERVICES AT PDJT, KT (10.01.2022)</t>
  </si>
  <si>
    <t>TRANSPORTATION SERVICES (05.01.2022)</t>
  </si>
  <si>
    <t>PROVISION OF JETTY SUPPORT SERVICES &amp; ASSOCIATED SERVICES AT PDJT, KT (01.01.2022-11.01.2022)</t>
  </si>
  <si>
    <t>FUEL (MGO) 40,000 LITERS (13.01.2022) -THROUGHPUT</t>
  </si>
  <si>
    <t>07.01.2022</t>
  </si>
  <si>
    <t>13.01.2022</t>
  </si>
  <si>
    <t>01.01.2022-</t>
  </si>
  <si>
    <t>25.09.2017</t>
  </si>
  <si>
    <t>15.08.2016</t>
  </si>
  <si>
    <t>31.07.2016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</si>
</sst>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&quot;RM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4" fontId="2" fillId="0" borderId="0" xfId="0" applyNumberFormat="1" applyFont="1" applyFill="1" applyBorder="1" applyAlignment="1">
      <alignment horizontal="left" vertical="center"/>
    </xf>
    <xf numFmtId="4" fontId="2" fillId="0" borderId="0" xfId="0" applyNumberFormat="1" applyFont="1" applyBorder="1" applyAlignment="1">
      <alignment horizontal="left" vertical="center"/>
    </xf>
    <xf numFmtId="17" fontId="2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4" fontId="2" fillId="0" borderId="0" xfId="0" applyNumberFormat="1" applyFont="1" applyFill="1" applyBorder="1" applyAlignment="1">
      <alignment horizontal="left" vertical="center" wrapText="1"/>
    </xf>
    <xf numFmtId="17" fontId="2" fillId="0" borderId="0" xfId="0" applyNumberFormat="1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15" fontId="2" fillId="0" borderId="0" xfId="0" applyNumberFormat="1" applyFont="1" applyBorder="1" applyAlignment="1">
      <alignment horizontal="left" vertical="center"/>
    </xf>
    <xf numFmtId="166" fontId="2" fillId="0" borderId="0" xfId="0" applyNumberFormat="1" applyFont="1" applyFill="1" applyBorder="1" applyAlignment="1">
      <alignment horizontal="left" vertical="center"/>
    </xf>
    <xf numFmtId="166" fontId="2" fillId="0" borderId="0" xfId="0" applyNumberFormat="1" applyFont="1" applyBorder="1" applyAlignment="1">
      <alignment horizontal="left" vertical="center"/>
    </xf>
    <xf numFmtId="2" fontId="2" fillId="0" borderId="0" xfId="0" applyNumberFormat="1" applyFont="1" applyFill="1" applyBorder="1" applyAlignment="1">
      <alignment horizontal="left" vertical="center"/>
    </xf>
    <xf numFmtId="2" fontId="2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tabSelected="1" topLeftCell="F13" workbookViewId="0">
      <selection activeCell="H20" sqref="H20"/>
    </sheetView>
  </sheetViews>
  <sheetFormatPr defaultRowHeight="15" x14ac:dyDescent="0.25"/>
  <cols>
    <col min="1" max="1" width="28" style="12" customWidth="1"/>
    <col min="2" max="2" width="14.5703125" style="16" customWidth="1"/>
    <col min="3" max="3" width="23.28515625" style="16" customWidth="1"/>
    <col min="4" max="4" width="28.28515625" style="16" customWidth="1"/>
    <col min="5" max="5" width="15.85546875" style="16" customWidth="1"/>
    <col min="6" max="6" width="19.7109375" style="16" customWidth="1"/>
    <col min="7" max="7" width="43.85546875" style="20" customWidth="1"/>
    <col min="8" max="8" width="22.85546875" style="12" customWidth="1"/>
    <col min="9" max="9" width="21.85546875" style="16" customWidth="1"/>
    <col min="10" max="10" width="25.7109375" style="16" customWidth="1"/>
    <col min="11" max="11" width="34.42578125" style="16" customWidth="1"/>
    <col min="12" max="12" width="31.85546875" style="16" customWidth="1"/>
    <col min="13" max="13" width="26.28515625" style="16" customWidth="1"/>
    <col min="14" max="14" width="21.28515625" style="16" customWidth="1"/>
    <col min="15" max="15" width="11.85546875" style="16" customWidth="1"/>
    <col min="16" max="16384" width="9.140625" style="16"/>
  </cols>
  <sheetData>
    <row r="1" spans="1:15" x14ac:dyDescent="0.25">
      <c r="B1" s="13" t="s">
        <v>2</v>
      </c>
      <c r="C1" s="13" t="s">
        <v>19</v>
      </c>
      <c r="D1" s="13" t="s">
        <v>16</v>
      </c>
      <c r="E1" s="13" t="s">
        <v>21</v>
      </c>
      <c r="F1" s="13" t="s">
        <v>23</v>
      </c>
      <c r="G1" s="14" t="s">
        <v>24</v>
      </c>
      <c r="H1" s="15" t="s">
        <v>25</v>
      </c>
      <c r="I1" s="13" t="s">
        <v>17</v>
      </c>
      <c r="J1" s="13" t="s">
        <v>28</v>
      </c>
      <c r="K1" s="13" t="s">
        <v>18</v>
      </c>
      <c r="L1" s="13" t="s">
        <v>31</v>
      </c>
      <c r="M1" s="13" t="s">
        <v>33</v>
      </c>
    </row>
    <row r="2" spans="1:15" x14ac:dyDescent="0.25">
      <c r="B2" s="13"/>
      <c r="C2" s="13" t="s">
        <v>20</v>
      </c>
      <c r="D2" s="13" t="s">
        <v>15</v>
      </c>
      <c r="E2" s="13" t="s">
        <v>22</v>
      </c>
      <c r="F2" s="13"/>
      <c r="G2" s="14"/>
      <c r="H2" s="15" t="s">
        <v>26</v>
      </c>
      <c r="I2" s="13" t="s">
        <v>27</v>
      </c>
      <c r="J2" s="13" t="s">
        <v>29</v>
      </c>
      <c r="K2" s="13" t="s">
        <v>30</v>
      </c>
      <c r="L2" s="13" t="s">
        <v>32</v>
      </c>
      <c r="M2" s="13"/>
    </row>
    <row r="5" spans="1:15" x14ac:dyDescent="0.25">
      <c r="A5" s="17" t="s">
        <v>1</v>
      </c>
      <c r="B5" s="18" t="s">
        <v>2</v>
      </c>
      <c r="C5" s="18" t="s">
        <v>3</v>
      </c>
      <c r="D5" s="18" t="s">
        <v>0</v>
      </c>
      <c r="E5" s="18" t="s">
        <v>4</v>
      </c>
      <c r="F5" s="18" t="s">
        <v>5</v>
      </c>
      <c r="G5" s="19" t="s">
        <v>6</v>
      </c>
      <c r="H5" s="17" t="s">
        <v>7</v>
      </c>
      <c r="I5" s="18" t="s">
        <v>8</v>
      </c>
      <c r="J5" s="18" t="s">
        <v>9</v>
      </c>
      <c r="K5" s="18" t="s">
        <v>10</v>
      </c>
      <c r="L5" s="18" t="s">
        <v>11</v>
      </c>
      <c r="M5" s="18" t="s">
        <v>12</v>
      </c>
      <c r="N5" s="18" t="s">
        <v>13</v>
      </c>
      <c r="O5" s="18" t="s">
        <v>14</v>
      </c>
    </row>
    <row r="6" spans="1:15" ht="30" x14ac:dyDescent="0.25">
      <c r="A6" s="9" t="s">
        <v>25</v>
      </c>
      <c r="B6" s="3" t="s">
        <v>16</v>
      </c>
      <c r="C6" s="4" t="s">
        <v>66</v>
      </c>
      <c r="D6" s="3" t="s">
        <v>36</v>
      </c>
      <c r="E6" s="21">
        <f>DATE(2022,1,5)</f>
        <v>44566</v>
      </c>
      <c r="F6" s="9" t="s">
        <v>60</v>
      </c>
      <c r="G6" s="5" t="s">
        <v>113</v>
      </c>
      <c r="H6" s="1" t="s">
        <v>38</v>
      </c>
      <c r="I6" s="9" t="s">
        <v>44</v>
      </c>
      <c r="J6" s="9" t="s">
        <v>44</v>
      </c>
      <c r="K6" s="24">
        <f>SUM(35000*0.072)</f>
        <v>2520</v>
      </c>
      <c r="L6" s="2"/>
      <c r="M6" s="7"/>
      <c r="N6" s="7"/>
      <c r="O6" s="2"/>
    </row>
    <row r="7" spans="1:15" ht="30" x14ac:dyDescent="0.25">
      <c r="A7" s="9" t="s">
        <v>25</v>
      </c>
      <c r="B7" s="3" t="s">
        <v>16</v>
      </c>
      <c r="C7" s="4" t="s">
        <v>67</v>
      </c>
      <c r="D7" s="3" t="s">
        <v>36</v>
      </c>
      <c r="E7" s="21">
        <f t="shared" ref="E7:E9" si="0">DATE(2022,1,5)</f>
        <v>44566</v>
      </c>
      <c r="F7" s="9" t="s">
        <v>62</v>
      </c>
      <c r="G7" s="5" t="s">
        <v>114</v>
      </c>
      <c r="H7" s="1" t="s">
        <v>38</v>
      </c>
      <c r="I7" s="9" t="s">
        <v>44</v>
      </c>
      <c r="J7" s="9" t="s">
        <v>44</v>
      </c>
      <c r="K7" s="24">
        <f>SUM(25000*0.072)</f>
        <v>1799.9999999999998</v>
      </c>
      <c r="L7" s="2"/>
      <c r="M7" s="6"/>
      <c r="N7" s="6"/>
      <c r="O7" s="2"/>
    </row>
    <row r="8" spans="1:15" ht="45" x14ac:dyDescent="0.25">
      <c r="A8" s="5" t="s">
        <v>39</v>
      </c>
      <c r="B8" s="3" t="s">
        <v>16</v>
      </c>
      <c r="C8" s="3" t="s">
        <v>68</v>
      </c>
      <c r="D8" s="3" t="s">
        <v>96</v>
      </c>
      <c r="E8" s="21">
        <f t="shared" si="0"/>
        <v>44566</v>
      </c>
      <c r="F8" s="5" t="s">
        <v>55</v>
      </c>
      <c r="G8" s="5" t="s">
        <v>115</v>
      </c>
      <c r="H8" s="1" t="s">
        <v>38</v>
      </c>
      <c r="I8" s="9" t="s">
        <v>140</v>
      </c>
      <c r="J8" s="5" t="s">
        <v>42</v>
      </c>
      <c r="K8" s="25">
        <v>1059</v>
      </c>
      <c r="L8" s="2"/>
      <c r="M8" s="6"/>
      <c r="N8" s="6"/>
      <c r="O8" s="2"/>
    </row>
    <row r="9" spans="1:15" ht="30" x14ac:dyDescent="0.25">
      <c r="A9" s="5" t="s">
        <v>35</v>
      </c>
      <c r="B9" s="3" t="s">
        <v>16</v>
      </c>
      <c r="C9" s="3" t="s">
        <v>69</v>
      </c>
      <c r="D9" s="3" t="s">
        <v>97</v>
      </c>
      <c r="E9" s="21">
        <f t="shared" si="0"/>
        <v>44566</v>
      </c>
      <c r="F9" s="9"/>
      <c r="G9" s="5" t="s">
        <v>116</v>
      </c>
      <c r="H9" s="1" t="s">
        <v>38</v>
      </c>
      <c r="I9" s="8" t="s">
        <v>42</v>
      </c>
      <c r="J9" s="8" t="s">
        <v>42</v>
      </c>
      <c r="K9" s="24">
        <v>562</v>
      </c>
      <c r="L9" s="2"/>
      <c r="M9" s="6"/>
      <c r="N9" s="6"/>
      <c r="O9" s="2"/>
    </row>
    <row r="10" spans="1:15" ht="30" x14ac:dyDescent="0.25">
      <c r="A10" s="9" t="s">
        <v>25</v>
      </c>
      <c r="B10" s="3" t="s">
        <v>16</v>
      </c>
      <c r="C10" s="4" t="s">
        <v>70</v>
      </c>
      <c r="D10" s="3" t="s">
        <v>36</v>
      </c>
      <c r="E10" s="21">
        <f>DATE(2022,1,8)</f>
        <v>44569</v>
      </c>
      <c r="F10" s="9" t="s">
        <v>53</v>
      </c>
      <c r="G10" s="5" t="s">
        <v>117</v>
      </c>
      <c r="H10" s="1" t="s">
        <v>38</v>
      </c>
      <c r="I10" s="9" t="s">
        <v>45</v>
      </c>
      <c r="J10" s="9" t="s">
        <v>45</v>
      </c>
      <c r="K10" s="24">
        <f>SUM(20000*0.072)</f>
        <v>1440</v>
      </c>
      <c r="L10" s="2"/>
      <c r="M10" s="6"/>
      <c r="N10" s="6"/>
      <c r="O10" s="2"/>
    </row>
    <row r="11" spans="1:15" ht="30" x14ac:dyDescent="0.25">
      <c r="A11" s="9" t="s">
        <v>25</v>
      </c>
      <c r="B11" s="3" t="s">
        <v>16</v>
      </c>
      <c r="C11" s="4" t="s">
        <v>71</v>
      </c>
      <c r="D11" s="3" t="s">
        <v>36</v>
      </c>
      <c r="E11" s="21">
        <f>DATE(2022,1,8)</f>
        <v>44569</v>
      </c>
      <c r="F11" s="5" t="s">
        <v>50</v>
      </c>
      <c r="G11" s="5" t="s">
        <v>118</v>
      </c>
      <c r="H11" s="1" t="s">
        <v>38</v>
      </c>
      <c r="I11" s="8" t="s">
        <v>45</v>
      </c>
      <c r="J11" s="8" t="s">
        <v>45</v>
      </c>
      <c r="K11" s="24">
        <f>SUM(23000*0.072)</f>
        <v>1655.9999999999998</v>
      </c>
      <c r="L11" s="2"/>
      <c r="M11" s="6"/>
      <c r="N11" s="6"/>
    </row>
    <row r="12" spans="1:15" ht="30" x14ac:dyDescent="0.25">
      <c r="A12" s="9" t="s">
        <v>25</v>
      </c>
      <c r="B12" s="3" t="s">
        <v>16</v>
      </c>
      <c r="C12" s="4" t="s">
        <v>72</v>
      </c>
      <c r="D12" s="3" t="s">
        <v>36</v>
      </c>
      <c r="E12" s="21">
        <f t="shared" ref="E12:E14" si="1">DATE(2022,1,8)</f>
        <v>44569</v>
      </c>
      <c r="F12" s="5" t="s">
        <v>58</v>
      </c>
      <c r="G12" s="5" t="s">
        <v>119</v>
      </c>
      <c r="H12" s="1" t="s">
        <v>38</v>
      </c>
      <c r="I12" s="8" t="s">
        <v>46</v>
      </c>
      <c r="J12" s="8" t="s">
        <v>46</v>
      </c>
      <c r="K12" s="24">
        <f>SUM(60000*0.072)</f>
        <v>4320</v>
      </c>
      <c r="L12" s="2"/>
      <c r="M12" s="6"/>
      <c r="N12" s="6"/>
    </row>
    <row r="13" spans="1:15" ht="30" x14ac:dyDescent="0.25">
      <c r="A13" s="9" t="s">
        <v>25</v>
      </c>
      <c r="B13" s="3" t="s">
        <v>16</v>
      </c>
      <c r="C13" s="4" t="s">
        <v>73</v>
      </c>
      <c r="D13" s="3" t="s">
        <v>36</v>
      </c>
      <c r="E13" s="21">
        <f t="shared" si="1"/>
        <v>44569</v>
      </c>
      <c r="F13" s="5" t="s">
        <v>52</v>
      </c>
      <c r="G13" s="5" t="s">
        <v>120</v>
      </c>
      <c r="H13" s="1" t="s">
        <v>38</v>
      </c>
      <c r="I13" s="8" t="s">
        <v>46</v>
      </c>
      <c r="J13" s="8" t="s">
        <v>46</v>
      </c>
      <c r="K13" s="24">
        <f t="shared" ref="K13" si="2">SUM(20000*0.072)</f>
        <v>1440</v>
      </c>
      <c r="L13" s="2"/>
      <c r="M13" s="6"/>
      <c r="N13" s="6"/>
    </row>
    <row r="14" spans="1:15" ht="30" x14ac:dyDescent="0.25">
      <c r="A14" s="9" t="s">
        <v>25</v>
      </c>
      <c r="B14" s="3" t="s">
        <v>16</v>
      </c>
      <c r="C14" s="4" t="s">
        <v>74</v>
      </c>
      <c r="D14" s="3" t="s">
        <v>36</v>
      </c>
      <c r="E14" s="21">
        <f t="shared" si="1"/>
        <v>44569</v>
      </c>
      <c r="F14" s="5" t="s">
        <v>56</v>
      </c>
      <c r="G14" s="5" t="s">
        <v>121</v>
      </c>
      <c r="H14" s="1" t="s">
        <v>38</v>
      </c>
      <c r="I14" s="8" t="s">
        <v>138</v>
      </c>
      <c r="J14" s="8" t="s">
        <v>138</v>
      </c>
      <c r="K14" s="24">
        <f>SUM(50000*0.072)</f>
        <v>3599.9999999999995</v>
      </c>
      <c r="L14" s="2"/>
      <c r="M14" s="6"/>
      <c r="N14" s="6"/>
    </row>
    <row r="15" spans="1:15" ht="30" x14ac:dyDescent="0.25">
      <c r="A15" s="5" t="s">
        <v>17</v>
      </c>
      <c r="B15" s="3" t="s">
        <v>16</v>
      </c>
      <c r="C15" s="3" t="s">
        <v>75</v>
      </c>
      <c r="D15" s="3" t="s">
        <v>98</v>
      </c>
      <c r="E15" s="21">
        <f>DATE(2022,1,10)</f>
        <v>44571</v>
      </c>
      <c r="F15" s="5" t="s">
        <v>51</v>
      </c>
      <c r="G15" s="5" t="s">
        <v>122</v>
      </c>
      <c r="H15" s="1" t="s">
        <v>38</v>
      </c>
      <c r="I15" s="8" t="s">
        <v>43</v>
      </c>
      <c r="J15" s="8" t="s">
        <v>43</v>
      </c>
      <c r="K15" s="24">
        <v>500</v>
      </c>
      <c r="L15" s="2"/>
      <c r="M15" s="6"/>
      <c r="N15" s="6"/>
    </row>
    <row r="16" spans="1:15" ht="30" x14ac:dyDescent="0.25">
      <c r="A16" s="5" t="s">
        <v>41</v>
      </c>
      <c r="B16" s="3" t="s">
        <v>16</v>
      </c>
      <c r="C16" s="3" t="s">
        <v>76</v>
      </c>
      <c r="D16" s="3" t="s">
        <v>99</v>
      </c>
      <c r="E16" s="21">
        <f t="shared" ref="E16:E21" si="3">DATE(2022,1,10)</f>
        <v>44571</v>
      </c>
      <c r="F16" s="5" t="s">
        <v>107</v>
      </c>
      <c r="G16" s="5" t="s">
        <v>123</v>
      </c>
      <c r="H16" s="1" t="s">
        <v>38</v>
      </c>
      <c r="I16" s="5" t="s">
        <v>44</v>
      </c>
      <c r="J16" s="5" t="s">
        <v>44</v>
      </c>
      <c r="K16" s="24">
        <v>720</v>
      </c>
      <c r="L16" s="2"/>
      <c r="M16" s="6"/>
      <c r="N16" s="6"/>
    </row>
    <row r="17" spans="1:14" ht="30" x14ac:dyDescent="0.25">
      <c r="A17" s="5" t="s">
        <v>41</v>
      </c>
      <c r="B17" s="3" t="s">
        <v>16</v>
      </c>
      <c r="C17" s="3" t="s">
        <v>77</v>
      </c>
      <c r="D17" s="3" t="s">
        <v>99</v>
      </c>
      <c r="E17" s="21">
        <f t="shared" si="3"/>
        <v>44571</v>
      </c>
      <c r="F17" s="5" t="s">
        <v>108</v>
      </c>
      <c r="G17" s="5" t="s">
        <v>123</v>
      </c>
      <c r="H17" s="1" t="s">
        <v>38</v>
      </c>
      <c r="I17" s="5" t="s">
        <v>44</v>
      </c>
      <c r="J17" s="5" t="s">
        <v>44</v>
      </c>
      <c r="K17" s="24">
        <v>720</v>
      </c>
      <c r="L17" s="2"/>
      <c r="M17" s="6"/>
      <c r="N17" s="6"/>
    </row>
    <row r="18" spans="1:14" ht="30" x14ac:dyDescent="0.25">
      <c r="A18" s="5" t="s">
        <v>63</v>
      </c>
      <c r="B18" s="4" t="s">
        <v>16</v>
      </c>
      <c r="C18" s="4" t="s">
        <v>78</v>
      </c>
      <c r="D18" s="4" t="s">
        <v>100</v>
      </c>
      <c r="E18" s="21">
        <f t="shared" si="3"/>
        <v>44571</v>
      </c>
      <c r="F18" s="9" t="s">
        <v>109</v>
      </c>
      <c r="G18" s="5" t="s">
        <v>124</v>
      </c>
      <c r="H18" s="1" t="s">
        <v>38</v>
      </c>
      <c r="I18" s="9" t="s">
        <v>141</v>
      </c>
      <c r="J18" s="8" t="s">
        <v>141</v>
      </c>
      <c r="K18" s="24">
        <v>625</v>
      </c>
      <c r="L18" s="2"/>
      <c r="M18" s="6"/>
      <c r="N18" s="6"/>
    </row>
    <row r="19" spans="1:14" ht="30" x14ac:dyDescent="0.25">
      <c r="A19" s="5" t="s">
        <v>64</v>
      </c>
      <c r="B19" s="4" t="s">
        <v>15</v>
      </c>
      <c r="C19" s="4" t="s">
        <v>79</v>
      </c>
      <c r="D19" s="4" t="s">
        <v>101</v>
      </c>
      <c r="E19" s="21">
        <f t="shared" si="3"/>
        <v>44571</v>
      </c>
      <c r="F19" s="9" t="s">
        <v>110</v>
      </c>
      <c r="G19" s="5" t="s">
        <v>125</v>
      </c>
      <c r="H19" s="1" t="s">
        <v>38</v>
      </c>
      <c r="I19" s="11" t="s">
        <v>48</v>
      </c>
      <c r="J19" s="11" t="s">
        <v>48</v>
      </c>
      <c r="K19" s="24">
        <v>50000</v>
      </c>
      <c r="L19" s="2"/>
      <c r="M19" s="6"/>
      <c r="N19" s="6"/>
    </row>
    <row r="20" spans="1:14" ht="30" x14ac:dyDescent="0.25">
      <c r="A20" s="5" t="s">
        <v>65</v>
      </c>
      <c r="B20" s="3" t="s">
        <v>16</v>
      </c>
      <c r="C20" s="3" t="s">
        <v>80</v>
      </c>
      <c r="D20" s="3" t="s">
        <v>102</v>
      </c>
      <c r="E20" s="21">
        <f t="shared" si="3"/>
        <v>44571</v>
      </c>
      <c r="F20" s="5" t="s">
        <v>54</v>
      </c>
      <c r="G20" s="5" t="s">
        <v>126</v>
      </c>
      <c r="H20" s="1" t="s">
        <v>38</v>
      </c>
      <c r="I20" s="5" t="s">
        <v>143</v>
      </c>
      <c r="J20" s="8" t="s">
        <v>142</v>
      </c>
      <c r="K20" s="24">
        <v>911.39</v>
      </c>
      <c r="L20" s="2"/>
      <c r="M20" s="6"/>
      <c r="N20" s="6"/>
    </row>
    <row r="21" spans="1:14" ht="30" x14ac:dyDescent="0.25">
      <c r="A21" s="5" t="s">
        <v>65</v>
      </c>
      <c r="B21" s="3" t="s">
        <v>16</v>
      </c>
      <c r="C21" s="3" t="s">
        <v>81</v>
      </c>
      <c r="D21" s="3" t="s">
        <v>103</v>
      </c>
      <c r="E21" s="21">
        <f t="shared" si="3"/>
        <v>44571</v>
      </c>
      <c r="F21" s="5" t="s">
        <v>57</v>
      </c>
      <c r="G21" s="5" t="s">
        <v>126</v>
      </c>
      <c r="H21" s="1" t="s">
        <v>38</v>
      </c>
      <c r="I21" s="5" t="s">
        <v>143</v>
      </c>
      <c r="J21" s="5" t="s">
        <v>142</v>
      </c>
      <c r="K21" s="24">
        <v>981.39</v>
      </c>
      <c r="L21" s="2"/>
      <c r="M21" s="6"/>
      <c r="N21" s="6"/>
    </row>
    <row r="22" spans="1:14" x14ac:dyDescent="0.25">
      <c r="A22" s="5" t="s">
        <v>40</v>
      </c>
      <c r="B22" s="3" t="s">
        <v>16</v>
      </c>
      <c r="C22" s="3" t="s">
        <v>82</v>
      </c>
      <c r="D22" s="3" t="s">
        <v>104</v>
      </c>
      <c r="E22" s="21">
        <f>DATE(2022,1,11)</f>
        <v>44572</v>
      </c>
      <c r="F22" s="5" t="s">
        <v>59</v>
      </c>
      <c r="G22" s="5" t="s">
        <v>127</v>
      </c>
      <c r="H22" s="1" t="s">
        <v>38</v>
      </c>
      <c r="I22" s="5" t="s">
        <v>49</v>
      </c>
      <c r="J22" s="5" t="s">
        <v>49</v>
      </c>
      <c r="K22" s="24">
        <v>42165</v>
      </c>
      <c r="L22" s="2"/>
      <c r="M22" s="6"/>
      <c r="N22" s="6"/>
    </row>
    <row r="23" spans="1:14" ht="30" x14ac:dyDescent="0.25">
      <c r="A23" s="5" t="s">
        <v>17</v>
      </c>
      <c r="B23" s="3" t="s">
        <v>16</v>
      </c>
      <c r="C23" s="3" t="s">
        <v>83</v>
      </c>
      <c r="D23" s="3" t="s">
        <v>105</v>
      </c>
      <c r="E23" s="21">
        <f t="shared" ref="E23:E27" si="4">DATE(2022,1,11)</f>
        <v>44572</v>
      </c>
      <c r="F23" s="5" t="s">
        <v>51</v>
      </c>
      <c r="G23" s="5" t="s">
        <v>128</v>
      </c>
      <c r="H23" s="1" t="s">
        <v>38</v>
      </c>
      <c r="I23" s="5" t="s">
        <v>47</v>
      </c>
      <c r="J23" s="5" t="s">
        <v>47</v>
      </c>
      <c r="K23" s="24">
        <v>880</v>
      </c>
      <c r="L23" s="2"/>
      <c r="M23" s="6"/>
      <c r="N23" s="6"/>
    </row>
    <row r="24" spans="1:14" ht="30" x14ac:dyDescent="0.25">
      <c r="A24" s="5" t="s">
        <v>17</v>
      </c>
      <c r="B24" s="3" t="s">
        <v>16</v>
      </c>
      <c r="C24" s="3" t="s">
        <v>84</v>
      </c>
      <c r="D24" s="3" t="s">
        <v>105</v>
      </c>
      <c r="E24" s="21">
        <f t="shared" si="4"/>
        <v>44572</v>
      </c>
      <c r="F24" s="5" t="s">
        <v>61</v>
      </c>
      <c r="G24" s="5" t="s">
        <v>129</v>
      </c>
      <c r="H24" s="1" t="s">
        <v>38</v>
      </c>
      <c r="I24" s="5" t="s">
        <v>46</v>
      </c>
      <c r="J24" s="5" t="s">
        <v>46</v>
      </c>
      <c r="K24" s="24">
        <v>990</v>
      </c>
      <c r="L24" s="2"/>
      <c r="M24" s="6"/>
      <c r="N24" s="6"/>
    </row>
    <row r="25" spans="1:14" ht="30" x14ac:dyDescent="0.25">
      <c r="A25" s="5" t="s">
        <v>17</v>
      </c>
      <c r="B25" s="3" t="s">
        <v>16</v>
      </c>
      <c r="C25" s="3" t="s">
        <v>85</v>
      </c>
      <c r="D25" s="3" t="s">
        <v>98</v>
      </c>
      <c r="E25" s="21">
        <f t="shared" si="4"/>
        <v>44572</v>
      </c>
      <c r="F25" s="5" t="s">
        <v>61</v>
      </c>
      <c r="G25" s="5" t="s">
        <v>130</v>
      </c>
      <c r="H25" s="1" t="s">
        <v>38</v>
      </c>
      <c r="I25" s="8" t="s">
        <v>44</v>
      </c>
      <c r="J25" s="8" t="s">
        <v>44</v>
      </c>
      <c r="K25" s="24">
        <v>150</v>
      </c>
      <c r="L25" s="2"/>
      <c r="M25" s="6"/>
      <c r="N25" s="6"/>
    </row>
    <row r="26" spans="1:14" ht="30" x14ac:dyDescent="0.25">
      <c r="A26" s="5" t="s">
        <v>17</v>
      </c>
      <c r="B26" s="3" t="s">
        <v>16</v>
      </c>
      <c r="C26" s="3" t="s">
        <v>86</v>
      </c>
      <c r="D26" s="3" t="s">
        <v>98</v>
      </c>
      <c r="E26" s="21">
        <f t="shared" si="4"/>
        <v>44572</v>
      </c>
      <c r="F26" s="5" t="s">
        <v>51</v>
      </c>
      <c r="G26" s="5" t="s">
        <v>130</v>
      </c>
      <c r="H26" s="1" t="s">
        <v>38</v>
      </c>
      <c r="I26" s="8" t="s">
        <v>44</v>
      </c>
      <c r="J26" s="8" t="s">
        <v>44</v>
      </c>
      <c r="K26" s="24">
        <v>420</v>
      </c>
      <c r="L26" s="2"/>
      <c r="M26" s="6"/>
      <c r="N26" s="6"/>
    </row>
    <row r="27" spans="1:14" ht="30" x14ac:dyDescent="0.25">
      <c r="A27" s="9" t="s">
        <v>26</v>
      </c>
      <c r="B27" s="4" t="s">
        <v>20</v>
      </c>
      <c r="C27" s="4" t="s">
        <v>87</v>
      </c>
      <c r="D27" s="4" t="s">
        <v>37</v>
      </c>
      <c r="E27" s="21">
        <f t="shared" si="4"/>
        <v>44572</v>
      </c>
      <c r="F27" s="9" t="s">
        <v>111</v>
      </c>
      <c r="G27" s="9" t="s">
        <v>131</v>
      </c>
      <c r="H27" s="1" t="s">
        <v>38</v>
      </c>
      <c r="I27" s="9" t="s">
        <v>140</v>
      </c>
      <c r="J27" s="5" t="s">
        <v>48</v>
      </c>
      <c r="K27" s="25">
        <f>SUM(759*7)</f>
        <v>5313</v>
      </c>
      <c r="L27" s="2"/>
      <c r="M27" s="10"/>
      <c r="N27" s="10"/>
    </row>
    <row r="28" spans="1:14" ht="30" x14ac:dyDescent="0.25">
      <c r="A28" s="5" t="s">
        <v>17</v>
      </c>
      <c r="B28" s="3" t="s">
        <v>16</v>
      </c>
      <c r="C28" s="3" t="s">
        <v>88</v>
      </c>
      <c r="D28" s="3" t="s">
        <v>105</v>
      </c>
      <c r="E28" s="21">
        <f>DATE(2022,1,12)</f>
        <v>44573</v>
      </c>
      <c r="F28" s="5" t="s">
        <v>51</v>
      </c>
      <c r="G28" s="5" t="s">
        <v>123</v>
      </c>
      <c r="H28" s="1" t="s">
        <v>38</v>
      </c>
      <c r="I28" s="5" t="s">
        <v>44</v>
      </c>
      <c r="J28" s="5" t="s">
        <v>44</v>
      </c>
      <c r="K28" s="24">
        <v>940</v>
      </c>
      <c r="L28" s="2"/>
      <c r="M28" s="6"/>
      <c r="N28" s="6"/>
    </row>
    <row r="29" spans="1:14" x14ac:dyDescent="0.25">
      <c r="A29" s="9" t="s">
        <v>26</v>
      </c>
      <c r="B29" s="4" t="s">
        <v>20</v>
      </c>
      <c r="C29" s="4" t="s">
        <v>89</v>
      </c>
      <c r="D29" s="3" t="s">
        <v>37</v>
      </c>
      <c r="E29" s="21">
        <f t="shared" ref="E29:E31" si="5">DATE(2022,1,12)</f>
        <v>44573</v>
      </c>
      <c r="F29" s="9" t="s">
        <v>112</v>
      </c>
      <c r="G29" s="9" t="s">
        <v>132</v>
      </c>
      <c r="H29" s="1" t="s">
        <v>38</v>
      </c>
      <c r="I29" s="9" t="s">
        <v>140</v>
      </c>
      <c r="J29" s="5" t="s">
        <v>48</v>
      </c>
      <c r="K29" s="25">
        <v>81649.77</v>
      </c>
      <c r="L29" s="2"/>
      <c r="M29" s="6"/>
      <c r="N29" s="6"/>
    </row>
    <row r="30" spans="1:14" ht="30" x14ac:dyDescent="0.25">
      <c r="A30" s="9" t="s">
        <v>25</v>
      </c>
      <c r="B30" s="3" t="s">
        <v>16</v>
      </c>
      <c r="C30" s="4" t="s">
        <v>90</v>
      </c>
      <c r="D30" s="3" t="s">
        <v>36</v>
      </c>
      <c r="E30" s="21">
        <f t="shared" si="5"/>
        <v>44573</v>
      </c>
      <c r="F30" s="5" t="s">
        <v>61</v>
      </c>
      <c r="G30" s="5" t="s">
        <v>133</v>
      </c>
      <c r="H30" s="1" t="s">
        <v>38</v>
      </c>
      <c r="I30" s="8" t="s">
        <v>49</v>
      </c>
      <c r="J30" s="8" t="s">
        <v>49</v>
      </c>
      <c r="K30" s="24">
        <f>SUM(20000*0.072)</f>
        <v>1440</v>
      </c>
      <c r="L30" s="2"/>
      <c r="M30" s="6"/>
      <c r="N30" s="6"/>
    </row>
    <row r="31" spans="1:14" ht="30" x14ac:dyDescent="0.25">
      <c r="A31" s="5" t="s">
        <v>39</v>
      </c>
      <c r="B31" s="3" t="s">
        <v>16</v>
      </c>
      <c r="C31" s="3" t="s">
        <v>91</v>
      </c>
      <c r="D31" s="3" t="s">
        <v>96</v>
      </c>
      <c r="E31" s="21">
        <f t="shared" si="5"/>
        <v>44573</v>
      </c>
      <c r="F31" s="5" t="s">
        <v>55</v>
      </c>
      <c r="G31" s="5" t="s">
        <v>134</v>
      </c>
      <c r="H31" s="1" t="s">
        <v>38</v>
      </c>
      <c r="I31" s="9" t="s">
        <v>48</v>
      </c>
      <c r="J31" s="9" t="s">
        <v>48</v>
      </c>
      <c r="K31" s="25">
        <v>647</v>
      </c>
      <c r="L31" s="2"/>
      <c r="M31" s="7"/>
      <c r="N31" s="7"/>
    </row>
    <row r="32" spans="1:14" ht="30" x14ac:dyDescent="0.25">
      <c r="A32" s="5" t="s">
        <v>34</v>
      </c>
      <c r="B32" s="3" t="s">
        <v>16</v>
      </c>
      <c r="C32" s="3" t="s">
        <v>92</v>
      </c>
      <c r="D32" s="3" t="s">
        <v>106</v>
      </c>
      <c r="E32" s="21">
        <f>DATE(2022,1,17)</f>
        <v>44578</v>
      </c>
      <c r="F32" s="5" t="s">
        <v>52</v>
      </c>
      <c r="G32" s="5" t="s">
        <v>130</v>
      </c>
      <c r="H32" s="1" t="s">
        <v>38</v>
      </c>
      <c r="I32" s="8" t="s">
        <v>44</v>
      </c>
      <c r="J32" s="8" t="s">
        <v>44</v>
      </c>
      <c r="K32" s="25">
        <v>75</v>
      </c>
      <c r="L32" s="2"/>
      <c r="M32" s="6"/>
      <c r="N32" s="6"/>
    </row>
    <row r="33" spans="1:14" x14ac:dyDescent="0.25">
      <c r="A33" s="5" t="s">
        <v>17</v>
      </c>
      <c r="B33" s="3" t="s">
        <v>16</v>
      </c>
      <c r="C33" s="3" t="s">
        <v>93</v>
      </c>
      <c r="D33" s="3" t="s">
        <v>98</v>
      </c>
      <c r="E33" s="21">
        <f t="shared" ref="E33:E35" si="6">DATE(2022,1,17)</f>
        <v>44578</v>
      </c>
      <c r="F33" s="5"/>
      <c r="G33" s="5" t="s">
        <v>135</v>
      </c>
      <c r="H33" s="1" t="s">
        <v>38</v>
      </c>
      <c r="I33" s="8" t="s">
        <v>45</v>
      </c>
      <c r="J33" s="8" t="s">
        <v>45</v>
      </c>
      <c r="K33" s="24">
        <v>30</v>
      </c>
      <c r="L33" s="2"/>
      <c r="M33" s="6"/>
      <c r="N33" s="6"/>
    </row>
    <row r="34" spans="1:14" ht="45" x14ac:dyDescent="0.25">
      <c r="A34" s="5" t="s">
        <v>17</v>
      </c>
      <c r="B34" s="3" t="s">
        <v>16</v>
      </c>
      <c r="C34" s="3" t="s">
        <v>94</v>
      </c>
      <c r="D34" s="3" t="s">
        <v>105</v>
      </c>
      <c r="E34" s="21">
        <f t="shared" si="6"/>
        <v>44578</v>
      </c>
      <c r="F34" s="5" t="s">
        <v>61</v>
      </c>
      <c r="G34" s="5" t="s">
        <v>136</v>
      </c>
      <c r="H34" s="1" t="s">
        <v>38</v>
      </c>
      <c r="I34" s="5" t="s">
        <v>140</v>
      </c>
      <c r="J34" s="5" t="s">
        <v>49</v>
      </c>
      <c r="K34" s="24">
        <v>5610</v>
      </c>
      <c r="L34" s="2"/>
      <c r="M34" s="7"/>
      <c r="N34" s="7"/>
    </row>
    <row r="35" spans="1:14" ht="30" x14ac:dyDescent="0.25">
      <c r="A35" s="9" t="s">
        <v>25</v>
      </c>
      <c r="B35" s="3" t="s">
        <v>16</v>
      </c>
      <c r="C35" s="4" t="s">
        <v>95</v>
      </c>
      <c r="D35" s="3" t="s">
        <v>36</v>
      </c>
      <c r="E35" s="21">
        <f t="shared" si="6"/>
        <v>44578</v>
      </c>
      <c r="F35" s="5" t="s">
        <v>56</v>
      </c>
      <c r="G35" s="5" t="s">
        <v>137</v>
      </c>
      <c r="H35" s="1" t="s">
        <v>38</v>
      </c>
      <c r="I35" s="8" t="s">
        <v>139</v>
      </c>
      <c r="J35" s="8" t="s">
        <v>139</v>
      </c>
      <c r="K35" s="24">
        <f>SUM(40000*0.072)</f>
        <v>2880</v>
      </c>
      <c r="L35" s="2"/>
      <c r="M35" s="6"/>
      <c r="N35" s="6"/>
    </row>
    <row r="36" spans="1:14" x14ac:dyDescent="0.25">
      <c r="K36" s="22"/>
    </row>
    <row r="37" spans="1:14" x14ac:dyDescent="0.25">
      <c r="K37" s="22"/>
    </row>
    <row r="38" spans="1:14" x14ac:dyDescent="0.25">
      <c r="K38" s="22"/>
    </row>
    <row r="39" spans="1:14" x14ac:dyDescent="0.25">
      <c r="K39" s="22"/>
    </row>
    <row r="40" spans="1:14" x14ac:dyDescent="0.25">
      <c r="K40" s="22"/>
    </row>
    <row r="41" spans="1:14" x14ac:dyDescent="0.25">
      <c r="K41" s="22"/>
    </row>
    <row r="42" spans="1:14" x14ac:dyDescent="0.25">
      <c r="K42" s="22"/>
    </row>
    <row r="43" spans="1:14" x14ac:dyDescent="0.25">
      <c r="K43" s="22"/>
    </row>
    <row r="44" spans="1:14" x14ac:dyDescent="0.25">
      <c r="K44" s="22"/>
    </row>
    <row r="45" spans="1:14" x14ac:dyDescent="0.25">
      <c r="K45" s="22"/>
    </row>
    <row r="46" spans="1:14" x14ac:dyDescent="0.25">
      <c r="K46" s="22"/>
    </row>
    <row r="47" spans="1:14" x14ac:dyDescent="0.25">
      <c r="K47" s="22"/>
    </row>
    <row r="48" spans="1:14" x14ac:dyDescent="0.25">
      <c r="K48" s="22"/>
    </row>
    <row r="49" spans="11:11" x14ac:dyDescent="0.25">
      <c r="K49" s="22"/>
    </row>
    <row r="50" spans="11:11" x14ac:dyDescent="0.25">
      <c r="K50" s="22"/>
    </row>
    <row r="51" spans="11:11" x14ac:dyDescent="0.25">
      <c r="K51" s="23"/>
    </row>
    <row r="52" spans="11:11" x14ac:dyDescent="0.25">
      <c r="K52" s="23"/>
    </row>
    <row r="53" spans="11:11" x14ac:dyDescent="0.25">
      <c r="K53" s="22"/>
    </row>
    <row r="54" spans="11:11" x14ac:dyDescent="0.25">
      <c r="K54" s="22"/>
    </row>
    <row r="55" spans="11:11" x14ac:dyDescent="0.25">
      <c r="K55" s="22"/>
    </row>
    <row r="56" spans="11:11" x14ac:dyDescent="0.25">
      <c r="K56" s="22"/>
    </row>
    <row r="57" spans="11:11" x14ac:dyDescent="0.25">
      <c r="K57" s="22"/>
    </row>
    <row r="58" spans="11:11" x14ac:dyDescent="0.25">
      <c r="K58" s="23"/>
    </row>
    <row r="59" spans="11:11" x14ac:dyDescent="0.25">
      <c r="K59" s="23"/>
    </row>
    <row r="60" spans="11:11" x14ac:dyDescent="0.25">
      <c r="K60" s="23"/>
    </row>
    <row r="61" spans="11:11" x14ac:dyDescent="0.25">
      <c r="K61" s="22"/>
    </row>
    <row r="62" spans="11:11" x14ac:dyDescent="0.25">
      <c r="K62" s="22"/>
    </row>
    <row r="63" spans="11:11" x14ac:dyDescent="0.25">
      <c r="K63" s="22"/>
    </row>
    <row r="64" spans="11:11" x14ac:dyDescent="0.25">
      <c r="K64" s="22"/>
    </row>
    <row r="65" spans="11:11" x14ac:dyDescent="0.25">
      <c r="K65" s="22"/>
    </row>
    <row r="66" spans="11:11" x14ac:dyDescent="0.25">
      <c r="K66" s="22"/>
    </row>
    <row r="67" spans="11:11" x14ac:dyDescent="0.25">
      <c r="K67" s="23"/>
    </row>
    <row r="68" spans="11:11" x14ac:dyDescent="0.25">
      <c r="K68" s="23"/>
    </row>
    <row r="69" spans="11:11" x14ac:dyDescent="0.25">
      <c r="K69" s="22"/>
    </row>
    <row r="70" spans="11:11" x14ac:dyDescent="0.25">
      <c r="K70" s="22"/>
    </row>
    <row r="71" spans="11:11" x14ac:dyDescent="0.25">
      <c r="K71" s="22"/>
    </row>
    <row r="72" spans="11:11" x14ac:dyDescent="0.25">
      <c r="K72" s="23"/>
    </row>
    <row r="73" spans="11:11" x14ac:dyDescent="0.25">
      <c r="K73" s="23"/>
    </row>
    <row r="74" spans="11:11" x14ac:dyDescent="0.25">
      <c r="K74" s="23"/>
    </row>
    <row r="75" spans="11:11" x14ac:dyDescent="0.25">
      <c r="K75" s="22"/>
    </row>
    <row r="76" spans="11:11" x14ac:dyDescent="0.25">
      <c r="K76" s="22"/>
    </row>
    <row r="77" spans="11:11" x14ac:dyDescent="0.25">
      <c r="K77" s="22"/>
    </row>
    <row r="78" spans="11:11" x14ac:dyDescent="0.25">
      <c r="K78" s="23"/>
    </row>
    <row r="79" spans="11:11" x14ac:dyDescent="0.25">
      <c r="K79" s="22"/>
    </row>
    <row r="80" spans="11:11" x14ac:dyDescent="0.25">
      <c r="K80" s="22"/>
    </row>
    <row r="81" spans="11:11" x14ac:dyDescent="0.25">
      <c r="K81" s="22"/>
    </row>
    <row r="82" spans="11:11" x14ac:dyDescent="0.25">
      <c r="K82" s="2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2022-01-29T00:24:27Z</dcterms:created>
  <dcterms:modified xsi:type="dcterms:W3CDTF">2022-02-07T09:09:23Z</dcterms:modified>
</cp:coreProperties>
</file>