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15" windowHeight="10357" firstSheet="1" activeTab="5"/>
  </bookViews>
  <sheets>
    <sheet name="FORMULA KIRAAN SASARAN JUALAN" sheetId="2" r:id="rId1"/>
    <sheet name="Sheet1" sheetId="3" r:id="rId2"/>
    <sheet name="SALES TRACKING" sheetId="4" r:id="rId3"/>
    <sheet name="CASHFLOW_FINAL" sheetId="5" r:id="rId4"/>
    <sheet name="PROFIT&amp;LOST" sheetId="6" r:id="rId5"/>
    <sheet name="BALANCE SHEET" sheetId="7" r:id="rId6"/>
  </sheets>
  <calcPr calcId="144525"/>
</workbook>
</file>

<file path=xl/sharedStrings.xml><?xml version="1.0" encoding="utf-8"?>
<sst xmlns="http://schemas.openxmlformats.org/spreadsheetml/2006/main" count="168">
  <si>
    <t>KIRAAN KOS PRODUK</t>
  </si>
  <si>
    <t>TETAPAN</t>
  </si>
  <si>
    <t>SASARAN</t>
  </si>
  <si>
    <t>TAHUN</t>
  </si>
  <si>
    <t>JENIS PRODUK/SERVIS</t>
  </si>
  <si>
    <t>HARGA JUALAN
(RM)</t>
  </si>
  <si>
    <t>KOS
(RM)</t>
  </si>
  <si>
    <t>UNTUNG
(RM)</t>
  </si>
  <si>
    <t>MARGIN KOS PRODUK/SERVIS
(%)</t>
  </si>
  <si>
    <t>MARGIN UNTUNG
(%)</t>
  </si>
  <si>
    <t>KUANTITI TAHUNAN
(UNIT)</t>
  </si>
  <si>
    <t>JUALAN
(RM)</t>
  </si>
  <si>
    <t>KOS PRODUK/SERVIS
(RM)</t>
  </si>
  <si>
    <t>JANAAN UNTUNG
(RM)</t>
  </si>
  <si>
    <t>KUANTITI BULANAN
(UNIT)</t>
  </si>
  <si>
    <t>JUALAN BULANAN
(RM)</t>
  </si>
  <si>
    <t>KOS PRODUK/SERVIS  BULANAN
(RM)</t>
  </si>
  <si>
    <t>i-Undi - Servis</t>
  </si>
  <si>
    <t>i-Undi Premium</t>
  </si>
  <si>
    <t>i-Office Premium</t>
  </si>
  <si>
    <t>Training - MARA</t>
  </si>
  <si>
    <t>Training - KADA</t>
  </si>
  <si>
    <t>i-KEMAS</t>
  </si>
  <si>
    <t>Lain-Lain Servis</t>
  </si>
  <si>
    <t>JUMLAH</t>
  </si>
  <si>
    <t>KIRAAN KOS OVERHEAD</t>
  </si>
  <si>
    <t>KIRAAN UNTUNG DISASARKAN</t>
  </si>
  <si>
    <t>NO</t>
  </si>
  <si>
    <t>JENIS OVERHEAD</t>
  </si>
  <si>
    <t>JUM. BULANAN
(RM)</t>
  </si>
  <si>
    <t>JUM. TAHUNAN
(RM)</t>
  </si>
  <si>
    <t>JUM. UNTUNG BULANAN
(RM)</t>
  </si>
  <si>
    <t>JUM. UNTUNG TAHUNAN
(RM)</t>
  </si>
  <si>
    <t>Gaji</t>
  </si>
  <si>
    <t>Sewa</t>
  </si>
  <si>
    <t>Utiliti</t>
  </si>
  <si>
    <t>Marketing</t>
  </si>
  <si>
    <t>KIRAAN UNTUNG SEBENAR</t>
  </si>
  <si>
    <t>OVERHEAD
(RM)</t>
  </si>
  <si>
    <t>KOS PRODUK
(RM)</t>
  </si>
  <si>
    <t>JUMLAH (RM)</t>
  </si>
  <si>
    <t>DATA SEBENAR PERNIAGAAN</t>
  </si>
  <si>
    <t>JENIS</t>
  </si>
  <si>
    <t>JANUARI</t>
  </si>
  <si>
    <t>FEBRUARI</t>
  </si>
  <si>
    <t>MAC</t>
  </si>
  <si>
    <t>APRIL</t>
  </si>
  <si>
    <t>MEI</t>
  </si>
  <si>
    <t>JUN</t>
  </si>
  <si>
    <t>JULAI</t>
  </si>
  <si>
    <t>OGOS</t>
  </si>
  <si>
    <t>SEPTEMBER</t>
  </si>
  <si>
    <t>OKTOBER</t>
  </si>
  <si>
    <t>NOVEMBER</t>
  </si>
  <si>
    <t>DISEMBER</t>
  </si>
  <si>
    <t>JUM. KESELURUHAN
(RM)</t>
  </si>
  <si>
    <t>JUALAN SEBENAR</t>
  </si>
  <si>
    <t>OVERHEAD</t>
  </si>
  <si>
    <t>KOS PRODUK</t>
  </si>
  <si>
    <t>Overhead</t>
  </si>
  <si>
    <t>Marketing Fund</t>
  </si>
  <si>
    <t>Rental</t>
  </si>
  <si>
    <t>Jum. Sebulan</t>
  </si>
  <si>
    <t>Jum. Setahun</t>
  </si>
  <si>
    <t>Profit</t>
  </si>
  <si>
    <t>Break-even Point + Profit</t>
  </si>
  <si>
    <t>Lowest Profit Margin</t>
  </si>
  <si>
    <t>Target Sale Per Year</t>
  </si>
  <si>
    <t>Target Sale Per Month</t>
  </si>
  <si>
    <t>Total Per Month</t>
  </si>
  <si>
    <t>Total Per Year</t>
  </si>
  <si>
    <t>Utilities</t>
  </si>
  <si>
    <t>Marketing Budget</t>
  </si>
  <si>
    <t>Total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</si>
  <si>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</si>
  <si>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</si>
  <si>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</si>
  <si>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</si>
  <si>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</si>
  <si>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</si>
  <si>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</si>
  <si>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</si>
  <si>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</si>
  <si>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</si>
  <si>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</si>
  <si>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</si>
  <si>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Target Sale</t>
  </si>
  <si>
    <t>Actual Sale</t>
  </si>
  <si>
    <t>Surplus/Shortage</t>
  </si>
  <si>
    <t>Rollover/New Target Sale</t>
  </si>
  <si>
    <t>Cost Target</t>
  </si>
  <si>
    <t>Cost Actual</t>
  </si>
  <si>
    <t>Gross Profit</t>
  </si>
  <si>
    <t>(-) Marketing Budget</t>
  </si>
  <si>
    <t>(-) Overhead</t>
  </si>
  <si>
    <t>Net Income Before Tax</t>
  </si>
  <si>
    <t>Ending Balance</t>
  </si>
  <si>
    <t>OVERHEAD PER MONTH</t>
  </si>
  <si>
    <t>OVERHEAD PER YEAR</t>
  </si>
  <si>
    <t>UNTUNG DISASARKAN</t>
  </si>
  <si>
    <t>MARGIN KOS</t>
  </si>
  <si>
    <t>MARGIN UNTUNG</t>
  </si>
  <si>
    <t>BREAK-EVEN POINT</t>
  </si>
  <si>
    <t>BREAK-EVEN POINT + PROFIT</t>
  </si>
  <si>
    <t>TARGET SALE PER YEAR</t>
  </si>
  <si>
    <t>TARGET SALE PER MONTH</t>
  </si>
  <si>
    <t>DATA ALIRAN TUNAI</t>
  </si>
  <si>
    <t>SASARAN JUALAN</t>
  </si>
  <si>
    <t>SURPLUS/SHORTAGE</t>
  </si>
  <si>
    <t>ROLLOVER/NEW TARGET SALE</t>
  </si>
  <si>
    <t>KOS SASARAN</t>
  </si>
  <si>
    <t>KOS SEBENAR</t>
  </si>
  <si>
    <t>UNTUNG KASAR</t>
  </si>
  <si>
    <t>(-) OVERHEAD</t>
  </si>
  <si>
    <t>(-) EXPENSES</t>
  </si>
  <si>
    <t>NETT INCOME BEFORE TAX</t>
  </si>
  <si>
    <t>PROFIT &amp; LOST STATEMENT (PENYATA UNTUNG &amp; RUGI)</t>
  </si>
  <si>
    <t>BALANCE SHEETS (KUNCI KIRA-KIRA)</t>
  </si>
  <si>
    <t>TRIAL BALANCE (IMBANGAN DUGA)</t>
  </si>
  <si>
    <t>DEBIT</t>
  </si>
  <si>
    <t>KREDIT</t>
  </si>
  <si>
    <t>JUALAN</t>
  </si>
  <si>
    <t>ASET TETAP/BUKAN SEMASA</t>
  </si>
  <si>
    <t>KOMPUTER &amp; BARANGAN IT</t>
  </si>
  <si>
    <t>KERETA</t>
  </si>
  <si>
    <t>(-) KOS JUALAN</t>
  </si>
  <si>
    <t>(-) PERUNTUKAN SUSUT NILAI</t>
  </si>
  <si>
    <t>KELENGKAPAN PEJABAT</t>
  </si>
  <si>
    <t>PENGHUTANG PERNIAGAAN</t>
  </si>
  <si>
    <t>STOK AWAL</t>
  </si>
  <si>
    <t>PENGHUTANG BUKAN PERNIAGAAN</t>
  </si>
  <si>
    <t>BELIAN</t>
  </si>
  <si>
    <t>STOK AKHIR</t>
  </si>
  <si>
    <t>ANGKUTAN MASUK</t>
  </si>
  <si>
    <t>BANK</t>
  </si>
  <si>
    <t>(-) STOK AKHIR</t>
  </si>
  <si>
    <t>TUNAI</t>
  </si>
  <si>
    <t>PETTY CASH (TUNAI KECIL)</t>
  </si>
  <si>
    <t>PINJAMAN KEPADA PENGARAH</t>
  </si>
  <si>
    <t>ASET SEMASA</t>
  </si>
  <si>
    <t>PEMIUTANG PERNIAGAAN</t>
  </si>
  <si>
    <t>UNTUNG KASAR OPERASI</t>
  </si>
  <si>
    <t>PEMIUTANG BUKAN PERNIAGAAN</t>
  </si>
  <si>
    <t>PINJAMAN DARIPADA PENGARAH</t>
  </si>
  <si>
    <t>PERBELANJAAN TERAKRU</t>
  </si>
  <si>
    <t>(+) LAIN-LAIN PENDAPATAN</t>
  </si>
  <si>
    <t>PEGANGAN SAHAM</t>
  </si>
  <si>
    <t>UNTUNG/RUGI TERTAHAN</t>
  </si>
  <si>
    <t>UNTUNG KASAR PERNIAGAAN</t>
  </si>
  <si>
    <t>LIABILITI SEMASA</t>
  </si>
  <si>
    <t>GAJI &amp; UPAH</t>
  </si>
  <si>
    <t>SEWA</t>
  </si>
  <si>
    <t>BIL LETRIK</t>
  </si>
  <si>
    <t>BIL AIR</t>
  </si>
  <si>
    <t>BIL TELEFON</t>
  </si>
  <si>
    <t>BIL INTERNET</t>
  </si>
  <si>
    <t>JUMLAH BERSIH ASET/LIABILITI</t>
  </si>
  <si>
    <t>KOS PENGIKLANAN</t>
  </si>
  <si>
    <t>PETROL</t>
  </si>
  <si>
    <t>EKUITI PEMILIK</t>
  </si>
  <si>
    <t>DERMA</t>
  </si>
  <si>
    <t>CAJ BANK</t>
  </si>
  <si>
    <t>UNTUNG/RUGI TERKUMPUL</t>
  </si>
  <si>
    <t>YURAN AUDIT</t>
  </si>
  <si>
    <t>YURAN PERCUKAIAN</t>
  </si>
  <si>
    <t>JUMLAH EKUITI</t>
  </si>
  <si>
    <t>UNTUNG BERSIH PERNIAGAAN</t>
  </si>
  <si>
    <t>JUMLAH ASET &amp; LIABILITI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</si>
</sst>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3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u/>
      <sz val="18"/>
      <color theme="0"/>
      <name val="Calibri"/>
      <charset val="134"/>
      <scheme val="minor"/>
    </font>
    <font>
      <b/>
      <u/>
      <sz val="20"/>
      <color theme="1"/>
      <name val="Calibri"/>
      <charset val="134"/>
      <scheme val="minor"/>
    </font>
    <font>
      <b/>
      <u/>
      <sz val="14"/>
      <color theme="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b/>
      <u/>
      <sz val="14"/>
      <color theme="1"/>
      <name val="Calibri"/>
      <charset val="134"/>
      <scheme val="minor"/>
    </font>
    <font>
      <b/>
      <u/>
      <sz val="14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11" borderId="72" applyNumberFormat="0" applyAlignment="0" applyProtection="0">
      <alignment vertical="center"/>
    </xf>
    <xf numFmtId="0" fontId="21" fillId="0" borderId="71" applyNumberFormat="0" applyFill="0" applyAlignment="0" applyProtection="0">
      <alignment vertical="center"/>
    </xf>
    <xf numFmtId="0" fontId="0" fillId="13" borderId="7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2" fillId="0" borderId="7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6" fillId="30" borderId="77" applyNumberFormat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3" fillId="28" borderId="76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5" fillId="28" borderId="77" applyNumberFormat="0" applyAlignment="0" applyProtection="0">
      <alignment vertical="center"/>
    </xf>
    <xf numFmtId="0" fontId="32" fillId="0" borderId="75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</cellStyleXfs>
  <cellXfs count="26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>
      <alignment vertical="center"/>
    </xf>
    <xf numFmtId="177" fontId="2" fillId="0" borderId="4" xfId="2" applyFont="1" applyBorder="1" applyAlignment="1">
      <alignment horizontal="center" vertical="center"/>
    </xf>
    <xf numFmtId="177" fontId="2" fillId="0" borderId="5" xfId="2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177" fontId="1" fillId="0" borderId="6" xfId="2" applyFont="1" applyBorder="1" applyAlignment="1">
      <alignment horizontal="center" vertical="center"/>
    </xf>
    <xf numFmtId="177" fontId="2" fillId="0" borderId="6" xfId="2" applyFont="1" applyBorder="1" applyAlignment="1">
      <alignment horizontal="center" vertical="center"/>
    </xf>
    <xf numFmtId="177" fontId="2" fillId="0" borderId="7" xfId="2" applyFont="1" applyBorder="1" applyAlignment="1">
      <alignment horizontal="center" vertical="center"/>
    </xf>
    <xf numFmtId="0" fontId="0" fillId="0" borderId="4" xfId="0" applyBorder="1" applyAlignment="1">
      <alignment horizontal="left" vertical="center" inden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7" fontId="2" fillId="0" borderId="8" xfId="2" applyFont="1" applyBorder="1" applyAlignment="1">
      <alignment horizontal="center" vertical="center"/>
    </xf>
    <xf numFmtId="177" fontId="2" fillId="0" borderId="10" xfId="2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77" fontId="0" fillId="0" borderId="4" xfId="2" applyBorder="1" applyAlignment="1">
      <alignment horizontal="center" vertical="center"/>
    </xf>
    <xf numFmtId="177" fontId="0" fillId="0" borderId="5" xfId="2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12" xfId="0" applyBorder="1">
      <alignment vertical="center"/>
    </xf>
    <xf numFmtId="177" fontId="0" fillId="0" borderId="8" xfId="2" applyBorder="1" applyAlignment="1">
      <alignment horizontal="center" vertical="center"/>
    </xf>
    <xf numFmtId="177" fontId="0" fillId="0" borderId="10" xfId="2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3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Fill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 applyFill="1">
      <alignment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>
      <alignment vertical="center"/>
    </xf>
    <xf numFmtId="4" fontId="4" fillId="4" borderId="18" xfId="0" applyNumberFormat="1" applyFont="1" applyFill="1" applyBorder="1" applyAlignment="1">
      <alignment horizontal="center" vertical="center"/>
    </xf>
    <xf numFmtId="4" fontId="4" fillId="0" borderId="18" xfId="0" applyNumberFormat="1" applyFont="1" applyBorder="1" applyAlignment="1">
      <alignment horizontal="center" vertical="center"/>
    </xf>
    <xf numFmtId="3" fontId="4" fillId="0" borderId="18" xfId="6" applyNumberFormat="1" applyFont="1" applyBorder="1" applyAlignment="1">
      <alignment horizontal="center" vertical="center"/>
    </xf>
    <xf numFmtId="3" fontId="4" fillId="0" borderId="19" xfId="6" applyNumberFormat="1" applyFont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>
      <alignment vertical="center"/>
    </xf>
    <xf numFmtId="4" fontId="4" fillId="4" borderId="23" xfId="0" applyNumberFormat="1" applyFont="1" applyFill="1" applyBorder="1" applyAlignment="1">
      <alignment horizontal="center" vertical="center"/>
    </xf>
    <xf numFmtId="4" fontId="4" fillId="0" borderId="23" xfId="0" applyNumberFormat="1" applyFont="1" applyBorder="1" applyAlignment="1">
      <alignment horizontal="center" vertical="center"/>
    </xf>
    <xf numFmtId="3" fontId="4" fillId="0" borderId="23" xfId="6" applyNumberFormat="1" applyFont="1" applyBorder="1" applyAlignment="1">
      <alignment horizontal="center" vertical="center"/>
    </xf>
    <xf numFmtId="3" fontId="4" fillId="0" borderId="24" xfId="6" applyNumberFormat="1" applyFont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>
      <alignment vertical="center"/>
    </xf>
    <xf numFmtId="4" fontId="4" fillId="4" borderId="28" xfId="0" applyNumberFormat="1" applyFont="1" applyFill="1" applyBorder="1" applyAlignment="1">
      <alignment horizontal="center" vertical="center"/>
    </xf>
    <xf numFmtId="4" fontId="4" fillId="0" borderId="28" xfId="0" applyNumberFormat="1" applyFont="1" applyBorder="1" applyAlignment="1">
      <alignment horizontal="center" vertical="center"/>
    </xf>
    <xf numFmtId="3" fontId="4" fillId="0" borderId="28" xfId="6" applyNumberFormat="1" applyFont="1" applyBorder="1" applyAlignment="1">
      <alignment horizontal="center" vertical="center"/>
    </xf>
    <xf numFmtId="3" fontId="4" fillId="0" borderId="29" xfId="6" applyNumberFormat="1" applyFont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4" fontId="4" fillId="4" borderId="27" xfId="0" applyNumberFormat="1" applyFont="1" applyFill="1" applyBorder="1" applyAlignment="1">
      <alignment horizontal="center" vertical="center"/>
    </xf>
    <xf numFmtId="4" fontId="4" fillId="0" borderId="27" xfId="0" applyNumberFormat="1" applyFont="1" applyBorder="1" applyAlignment="1">
      <alignment horizontal="center"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30" xfId="0" applyNumberFormat="1" applyFont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0" fontId="12" fillId="5" borderId="32" xfId="0" applyFont="1" applyFill="1" applyBorder="1" applyAlignment="1">
      <alignment horizontal="center" vertical="center" wrapText="1"/>
    </xf>
    <xf numFmtId="0" fontId="12" fillId="5" borderId="3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8" fillId="0" borderId="33" xfId="0" applyFont="1" applyFill="1" applyBorder="1" applyAlignment="1">
      <alignment horizontal="center" vertical="center"/>
    </xf>
    <xf numFmtId="177" fontId="13" fillId="0" borderId="34" xfId="2" applyFont="1" applyBorder="1" applyAlignment="1">
      <alignment horizontal="center" vertical="center" wrapText="1"/>
    </xf>
    <xf numFmtId="177" fontId="13" fillId="0" borderId="33" xfId="2" applyFont="1" applyBorder="1" applyAlignment="1">
      <alignment horizontal="center" vertical="center" wrapText="1"/>
    </xf>
    <xf numFmtId="177" fontId="13" fillId="0" borderId="35" xfId="2" applyFont="1" applyBorder="1" applyAlignment="1">
      <alignment horizontal="center" vertical="center" wrapText="1"/>
    </xf>
    <xf numFmtId="0" fontId="4" fillId="0" borderId="36" xfId="0" applyFont="1" applyBorder="1">
      <alignment vertical="center"/>
    </xf>
    <xf numFmtId="4" fontId="4" fillId="0" borderId="37" xfId="0" applyNumberFormat="1" applyFont="1" applyBorder="1" applyAlignment="1">
      <alignment horizontal="center" vertical="center"/>
    </xf>
    <xf numFmtId="4" fontId="4" fillId="0" borderId="38" xfId="0" applyNumberFormat="1" applyFont="1" applyBorder="1" applyAlignment="1">
      <alignment horizontal="center" vertical="center"/>
    </xf>
    <xf numFmtId="4" fontId="5" fillId="0" borderId="39" xfId="0" applyNumberFormat="1" applyFont="1" applyFill="1" applyBorder="1" applyAlignment="1">
      <alignment horizontal="center" vertical="center"/>
    </xf>
    <xf numFmtId="4" fontId="5" fillId="0" borderId="40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center" vertical="center"/>
    </xf>
    <xf numFmtId="4" fontId="5" fillId="0" borderId="12" xfId="0" applyNumberFormat="1" applyFont="1" applyBorder="1" applyAlignment="1">
      <alignment horizontal="center" vertical="center"/>
    </xf>
    <xf numFmtId="0" fontId="4" fillId="0" borderId="41" xfId="0" applyFont="1" applyBorder="1">
      <alignment vertical="center"/>
    </xf>
    <xf numFmtId="4" fontId="4" fillId="0" borderId="6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1" xfId="0" applyBorder="1">
      <alignment vertical="center"/>
    </xf>
    <xf numFmtId="4" fontId="0" fillId="0" borderId="44" xfId="0" applyNumberFormat="1" applyBorder="1" applyAlignment="1">
      <alignment horizontal="center" vertical="center"/>
    </xf>
    <xf numFmtId="4" fontId="0" fillId="0" borderId="39" xfId="0" applyNumberForma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right" vertical="center"/>
    </xf>
    <xf numFmtId="4" fontId="8" fillId="0" borderId="47" xfId="0" applyNumberFormat="1" applyFont="1" applyBorder="1" applyAlignment="1">
      <alignment horizontal="center" vertical="center"/>
    </xf>
    <xf numFmtId="4" fontId="8" fillId="0" borderId="4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4" fontId="8" fillId="0" borderId="0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15" fillId="3" borderId="50" xfId="0" applyFont="1" applyFill="1" applyBorder="1" applyAlignment="1">
      <alignment horizontal="center" vertical="center" wrapText="1"/>
    </xf>
    <xf numFmtId="0" fontId="15" fillId="3" borderId="27" xfId="0" applyFont="1" applyFill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177" fontId="15" fillId="3" borderId="52" xfId="2" applyFont="1" applyFill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left" vertical="center"/>
    </xf>
    <xf numFmtId="0" fontId="5" fillId="0" borderId="55" xfId="0" applyFont="1" applyBorder="1" applyAlignment="1">
      <alignment horizontal="left" vertical="center"/>
    </xf>
    <xf numFmtId="177" fontId="5" fillId="4" borderId="53" xfId="2" applyFont="1" applyFill="1" applyBorder="1" applyAlignment="1">
      <alignment horizontal="center" vertical="center"/>
    </xf>
    <xf numFmtId="0" fontId="4" fillId="0" borderId="53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left" vertical="center" wrapText="1"/>
    </xf>
    <xf numFmtId="0" fontId="5" fillId="0" borderId="55" xfId="0" applyFont="1" applyFill="1" applyBorder="1" applyAlignment="1">
      <alignment horizontal="left" vertical="center" wrapText="1"/>
    </xf>
    <xf numFmtId="177" fontId="5" fillId="6" borderId="56" xfId="2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left" vertical="center"/>
    </xf>
    <xf numFmtId="0" fontId="5" fillId="0" borderId="55" xfId="0" applyFont="1" applyFill="1" applyBorder="1" applyAlignment="1">
      <alignment horizontal="left" vertical="center"/>
    </xf>
    <xf numFmtId="177" fontId="5" fillId="0" borderId="56" xfId="2" applyFont="1" applyFill="1" applyBorder="1" applyAlignment="1">
      <alignment horizontal="center" vertical="center"/>
    </xf>
    <xf numFmtId="177" fontId="5" fillId="4" borderId="56" xfId="2" applyFont="1" applyFill="1" applyBorder="1" applyAlignment="1">
      <alignment horizontal="center" vertical="center"/>
    </xf>
    <xf numFmtId="0" fontId="5" fillId="0" borderId="41" xfId="0" applyFont="1" applyBorder="1" applyAlignment="1">
      <alignment horizontal="left" vertical="center"/>
    </xf>
    <xf numFmtId="0" fontId="5" fillId="0" borderId="57" xfId="0" applyFont="1" applyBorder="1" applyAlignment="1">
      <alignment horizontal="left" vertical="center"/>
    </xf>
    <xf numFmtId="177" fontId="5" fillId="0" borderId="58" xfId="2" applyFont="1" applyFill="1" applyBorder="1" applyAlignment="1">
      <alignment horizontal="center" vertical="center"/>
    </xf>
    <xf numFmtId="177" fontId="5" fillId="0" borderId="22" xfId="2" applyFont="1" applyFill="1" applyBorder="1" applyAlignment="1">
      <alignment horizontal="center" vertical="center"/>
    </xf>
    <xf numFmtId="0" fontId="5" fillId="0" borderId="59" xfId="0" applyFont="1" applyBorder="1" applyAlignment="1">
      <alignment horizontal="left" vertical="center"/>
    </xf>
    <xf numFmtId="0" fontId="5" fillId="0" borderId="60" xfId="0" applyFont="1" applyBorder="1" applyAlignment="1">
      <alignment horizontal="left" vertical="center"/>
    </xf>
    <xf numFmtId="177" fontId="5" fillId="0" borderId="50" xfId="2" applyFont="1" applyFill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left" vertical="center"/>
    </xf>
    <xf numFmtId="0" fontId="5" fillId="0" borderId="61" xfId="0" applyFont="1" applyBorder="1" applyAlignment="1">
      <alignment horizontal="left" vertical="center"/>
    </xf>
    <xf numFmtId="177" fontId="5" fillId="0" borderId="62" xfId="2" applyFont="1" applyFill="1" applyBorder="1" applyAlignment="1">
      <alignment horizontal="center" vertical="center"/>
    </xf>
    <xf numFmtId="177" fontId="5" fillId="0" borderId="45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4" fontId="4" fillId="0" borderId="20" xfId="0" applyNumberFormat="1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4" fontId="4" fillId="7" borderId="6" xfId="0" applyNumberFormat="1" applyFont="1" applyFill="1" applyBorder="1" applyAlignment="1">
      <alignment horizontal="center" vertical="center"/>
    </xf>
    <xf numFmtId="4" fontId="4" fillId="7" borderId="39" xfId="0" applyNumberFormat="1" applyFont="1" applyFill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0" fontId="4" fillId="7" borderId="44" xfId="0" applyFont="1" applyFill="1" applyBorder="1" applyAlignment="1">
      <alignment horizontal="center" vertical="center"/>
    </xf>
    <xf numFmtId="4" fontId="4" fillId="7" borderId="44" xfId="0" applyNumberFormat="1" applyFont="1" applyFill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4" fontId="4" fillId="0" borderId="0" xfId="0" applyNumberFormat="1" applyFont="1" applyBorder="1" applyAlignment="1">
      <alignment horizontal="center" vertical="center"/>
    </xf>
    <xf numFmtId="4" fontId="4" fillId="0" borderId="63" xfId="0" applyNumberFormat="1" applyFont="1" applyBorder="1" applyAlignment="1">
      <alignment horizontal="center" vertical="center"/>
    </xf>
    <xf numFmtId="4" fontId="4" fillId="0" borderId="31" xfId="0" applyNumberFormat="1" applyFont="1" applyBorder="1" applyAlignment="1">
      <alignment horizontal="center" vertical="center"/>
    </xf>
    <xf numFmtId="0" fontId="4" fillId="7" borderId="64" xfId="0" applyFont="1" applyFill="1" applyBorder="1" applyAlignment="1">
      <alignment horizontal="center" vertical="center"/>
    </xf>
    <xf numFmtId="4" fontId="4" fillId="7" borderId="64" xfId="0" applyNumberFormat="1" applyFont="1" applyFill="1" applyBorder="1" applyAlignment="1">
      <alignment horizontal="center" vertical="center"/>
    </xf>
    <xf numFmtId="4" fontId="4" fillId="7" borderId="63" xfId="0" applyNumberFormat="1" applyFont="1" applyFill="1" applyBorder="1" applyAlignment="1">
      <alignment horizontal="center" vertical="center"/>
    </xf>
    <xf numFmtId="4" fontId="16" fillId="0" borderId="3" xfId="0" applyNumberFormat="1" applyFont="1" applyBorder="1" applyAlignment="1">
      <alignment horizontal="center" vertical="center"/>
    </xf>
    <xf numFmtId="4" fontId="16" fillId="0" borderId="2" xfId="0" applyNumberFormat="1" applyFont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4" fontId="11" fillId="7" borderId="1" xfId="0" applyNumberFormat="1" applyFont="1" applyFill="1" applyBorder="1" applyAlignment="1">
      <alignment horizontal="center" vertical="center"/>
    </xf>
    <xf numFmtId="4" fontId="11" fillId="7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177" fontId="13" fillId="0" borderId="35" xfId="2" applyFont="1" applyBorder="1" applyAlignment="1">
      <alignment horizontal="center" vertical="center"/>
    </xf>
    <xf numFmtId="177" fontId="13" fillId="0" borderId="33" xfId="2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" fontId="11" fillId="0" borderId="0" xfId="0" applyNumberFormat="1" applyFont="1" applyFill="1" applyBorder="1" applyAlignment="1">
      <alignment horizontal="center" vertical="center"/>
    </xf>
    <xf numFmtId="0" fontId="15" fillId="3" borderId="59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 wrapText="1"/>
    </xf>
    <xf numFmtId="177" fontId="15" fillId="3" borderId="16" xfId="2" applyFont="1" applyFill="1" applyBorder="1" applyAlignment="1">
      <alignment horizontal="center" vertical="center" wrapText="1"/>
    </xf>
    <xf numFmtId="177" fontId="5" fillId="4" borderId="7" xfId="2" applyFont="1" applyFill="1" applyBorder="1" applyAlignment="1">
      <alignment horizontal="center" vertical="center"/>
    </xf>
    <xf numFmtId="177" fontId="5" fillId="6" borderId="25" xfId="2" applyFont="1" applyFill="1" applyBorder="1" applyAlignment="1">
      <alignment horizontal="center" vertical="center"/>
    </xf>
    <xf numFmtId="177" fontId="5" fillId="6" borderId="7" xfId="2" applyFont="1" applyFill="1" applyBorder="1" applyAlignment="1">
      <alignment horizontal="center" vertical="center"/>
    </xf>
    <xf numFmtId="177" fontId="5" fillId="0" borderId="25" xfId="2" applyFont="1" applyFill="1" applyBorder="1" applyAlignment="1">
      <alignment horizontal="center" vertical="center"/>
    </xf>
    <xf numFmtId="177" fontId="5" fillId="0" borderId="7" xfId="2" applyFont="1" applyFill="1" applyBorder="1" applyAlignment="1">
      <alignment horizontal="center" vertical="center"/>
    </xf>
    <xf numFmtId="177" fontId="5" fillId="4" borderId="25" xfId="2" applyFont="1" applyFill="1" applyBorder="1" applyAlignment="1">
      <alignment horizontal="center" vertical="center"/>
    </xf>
    <xf numFmtId="177" fontId="5" fillId="0" borderId="41" xfId="2" applyFont="1" applyFill="1" applyBorder="1" applyAlignment="1">
      <alignment horizontal="center" vertical="center"/>
    </xf>
    <xf numFmtId="177" fontId="5" fillId="0" borderId="39" xfId="2" applyFont="1" applyFill="1" applyBorder="1" applyAlignment="1">
      <alignment horizontal="center" vertical="center"/>
    </xf>
    <xf numFmtId="177" fontId="5" fillId="0" borderId="63" xfId="2" applyFont="1" applyFill="1" applyBorder="1" applyAlignment="1">
      <alignment horizontal="center" vertical="center"/>
    </xf>
    <xf numFmtId="177" fontId="5" fillId="0" borderId="31" xfId="2" applyFont="1" applyFill="1" applyBorder="1" applyAlignment="1">
      <alignment horizontal="center" vertical="center"/>
    </xf>
    <xf numFmtId="177" fontId="5" fillId="0" borderId="42" xfId="2" applyFont="1" applyFill="1" applyBorder="1" applyAlignment="1">
      <alignment horizontal="center" vertical="center"/>
    </xf>
    <xf numFmtId="177" fontId="0" fillId="0" borderId="0" xfId="2" applyAlignment="1">
      <alignment horizontal="center" vertical="center"/>
    </xf>
    <xf numFmtId="177" fontId="1" fillId="0" borderId="0" xfId="2" applyFont="1" applyAlignment="1">
      <alignment horizontal="center" vertical="center"/>
    </xf>
    <xf numFmtId="177" fontId="0" fillId="0" borderId="0" xfId="2" applyAlignment="1">
      <alignment horizontal="right" vertical="center"/>
    </xf>
    <xf numFmtId="1" fontId="8" fillId="0" borderId="0" xfId="2" applyNumberFormat="1" applyFont="1" applyAlignment="1">
      <alignment horizontal="center" vertical="center"/>
    </xf>
    <xf numFmtId="0" fontId="5" fillId="0" borderId="17" xfId="0" applyFont="1" applyBorder="1">
      <alignment vertical="center"/>
    </xf>
    <xf numFmtId="0" fontId="5" fillId="0" borderId="18" xfId="0" applyFont="1" applyBorder="1" applyAlignment="1">
      <alignment horizontal="center" vertical="center"/>
    </xf>
    <xf numFmtId="177" fontId="5" fillId="0" borderId="18" xfId="2" applyFont="1" applyBorder="1" applyAlignment="1">
      <alignment horizontal="center" vertical="center"/>
    </xf>
    <xf numFmtId="0" fontId="1" fillId="0" borderId="21" xfId="0" applyFont="1" applyBorder="1">
      <alignment vertical="center"/>
    </xf>
    <xf numFmtId="177" fontId="0" fillId="0" borderId="22" xfId="2" applyBorder="1" applyAlignment="1">
      <alignment horizontal="center" vertical="center"/>
    </xf>
    <xf numFmtId="177" fontId="0" fillId="4" borderId="22" xfId="2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177" fontId="0" fillId="8" borderId="27" xfId="2" applyFill="1" applyBorder="1" applyAlignment="1">
      <alignment horizontal="center" vertical="center"/>
    </xf>
    <xf numFmtId="177" fontId="0" fillId="0" borderId="27" xfId="2" applyBorder="1" applyAlignment="1">
      <alignment horizontal="center" vertical="center"/>
    </xf>
    <xf numFmtId="0" fontId="1" fillId="0" borderId="22" xfId="0" applyFont="1" applyBorder="1">
      <alignment vertical="center"/>
    </xf>
    <xf numFmtId="0" fontId="0" fillId="0" borderId="22" xfId="0" applyBorder="1" applyAlignment="1">
      <alignment horizontal="center" vertical="center"/>
    </xf>
    <xf numFmtId="177" fontId="5" fillId="0" borderId="19" xfId="2" applyFont="1" applyBorder="1" applyAlignment="1">
      <alignment horizontal="center" vertical="center"/>
    </xf>
    <xf numFmtId="177" fontId="0" fillId="0" borderId="65" xfId="2" applyBorder="1" applyAlignment="1">
      <alignment horizontal="center" vertical="center"/>
    </xf>
    <xf numFmtId="177" fontId="0" fillId="0" borderId="30" xfId="2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/>
    </xf>
    <xf numFmtId="4" fontId="5" fillId="4" borderId="22" xfId="0" applyNumberFormat="1" applyFont="1" applyFill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8" fillId="0" borderId="67" xfId="0" applyFont="1" applyBorder="1" applyAlignment="1">
      <alignment horizontal="center" vertical="center"/>
    </xf>
    <xf numFmtId="4" fontId="8" fillId="0" borderId="67" xfId="0" applyNumberFormat="1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4" fontId="5" fillId="4" borderId="53" xfId="0" applyNumberFormat="1" applyFont="1" applyFill="1" applyBorder="1" applyAlignment="1">
      <alignment horizontal="center" vertical="center"/>
    </xf>
    <xf numFmtId="4" fontId="5" fillId="4" borderId="58" xfId="0" applyNumberFormat="1" applyFont="1" applyFill="1" applyBorder="1" applyAlignment="1">
      <alignment horizontal="center" vertical="center"/>
    </xf>
    <xf numFmtId="4" fontId="5" fillId="4" borderId="62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0" fontId="10" fillId="5" borderId="37" xfId="0" applyFont="1" applyFill="1" applyBorder="1" applyAlignment="1">
      <alignment horizontal="center" vertical="center" wrapText="1"/>
    </xf>
    <xf numFmtId="0" fontId="10" fillId="5" borderId="68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4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4" fontId="5" fillId="0" borderId="41" xfId="0" applyNumberFormat="1" applyFont="1" applyBorder="1" applyAlignment="1">
      <alignment horizontal="center" vertical="center"/>
    </xf>
    <xf numFmtId="4" fontId="5" fillId="0" borderId="22" xfId="0" applyNumberFormat="1" applyFont="1" applyBorder="1" applyAlignment="1">
      <alignment horizontal="center" vertical="center"/>
    </xf>
    <xf numFmtId="4" fontId="5" fillId="0" borderId="65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4" fontId="11" fillId="0" borderId="69" xfId="0" applyNumberFormat="1" applyFont="1" applyBorder="1" applyAlignment="1">
      <alignment horizontal="center" vertical="center"/>
    </xf>
    <xf numFmtId="4" fontId="5" fillId="4" borderId="41" xfId="0" applyNumberFormat="1" applyFont="1" applyFill="1" applyBorder="1" applyAlignment="1">
      <alignment horizontal="center" vertical="center"/>
    </xf>
    <xf numFmtId="177" fontId="5" fillId="4" borderId="39" xfId="2" applyFont="1" applyFill="1" applyBorder="1" applyAlignment="1">
      <alignment horizontal="center" vertical="center"/>
    </xf>
    <xf numFmtId="177" fontId="5" fillId="4" borderId="42" xfId="2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3:Q33"/>
  <sheetViews>
    <sheetView zoomScale="70" zoomScaleNormal="70" topLeftCell="A16" workbookViewId="0">
      <selection activeCell="H37" sqref="H37"/>
    </sheetView>
  </sheetViews>
  <sheetFormatPr defaultColWidth="9.02654867256637" defaultRowHeight="14.25"/>
  <cols>
    <col min="1" max="1" width="3.79646017699115" style="3" customWidth="1"/>
    <col min="2" max="2" width="9.04424778761062" style="3" customWidth="1"/>
    <col min="3" max="3" width="19.7079646017699" customWidth="1"/>
    <col min="4" max="4" width="12.6017699115044" style="3" customWidth="1"/>
    <col min="5" max="5" width="13.1327433628319" style="3" customWidth="1"/>
    <col min="6" max="6" width="12.5486725663717" style="3" customWidth="1"/>
    <col min="7" max="7" width="16.787610619469" style="3" customWidth="1"/>
    <col min="8" max="8" width="12.0530973451327" style="3" customWidth="1"/>
    <col min="9" max="9" width="13.5398230088496" style="3" customWidth="1"/>
    <col min="10" max="10" width="14.4159292035398" style="3" customWidth="1"/>
    <col min="11" max="11" width="20.2920353982301" style="3" customWidth="1"/>
    <col min="12" max="12" width="12.3716814159292" style="3" customWidth="1"/>
    <col min="13" max="13" width="12.8053097345133" style="3" customWidth="1"/>
    <col min="14" max="14" width="17.0973451327434" style="3" customWidth="1"/>
    <col min="15" max="15" width="15.1061946902655" style="3" customWidth="1"/>
    <col min="16" max="16" width="12.0530973451327" style="3" customWidth="1"/>
    <col min="17" max="17" width="13.5221238938053" style="3" customWidth="1"/>
  </cols>
  <sheetData>
    <row r="3" s="32" customFormat="1" ht="24" spans="1:17">
      <c r="A3" s="41" t="s">
        <v>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62"/>
      <c r="Q3" s="162"/>
    </row>
    <row r="4" s="33" customFormat="1" ht="16.5" spans="1:17">
      <c r="A4" s="43" t="s">
        <v>1</v>
      </c>
      <c r="B4" s="44"/>
      <c r="C4" s="44"/>
      <c r="D4" s="44"/>
      <c r="E4" s="44"/>
      <c r="F4" s="44"/>
      <c r="G4" s="44"/>
      <c r="H4" s="45"/>
      <c r="I4" s="46" t="s">
        <v>2</v>
      </c>
      <c r="J4" s="163"/>
      <c r="K4" s="163"/>
      <c r="L4" s="163"/>
      <c r="M4" s="163"/>
      <c r="N4" s="163"/>
      <c r="O4" s="164"/>
      <c r="P4" s="113"/>
      <c r="Q4" s="113"/>
    </row>
    <row r="5" s="34" customFormat="1" ht="63.75" spans="1:15">
      <c r="A5" s="47" t="str">
        <f>UPPER("no")</f>
        <v>NO</v>
      </c>
      <c r="B5" s="227" t="s">
        <v>3</v>
      </c>
      <c r="C5" s="48" t="s">
        <v>4</v>
      </c>
      <c r="D5" s="48" t="s">
        <v>5</v>
      </c>
      <c r="E5" s="48" t="s">
        <v>6</v>
      </c>
      <c r="F5" s="48" t="s">
        <v>7</v>
      </c>
      <c r="G5" s="48" t="s">
        <v>8</v>
      </c>
      <c r="H5" s="49" t="s">
        <v>9</v>
      </c>
      <c r="I5" s="50" t="s">
        <v>10</v>
      </c>
      <c r="J5" s="165" t="s">
        <v>11</v>
      </c>
      <c r="K5" s="50" t="s">
        <v>12</v>
      </c>
      <c r="L5" s="165" t="s">
        <v>13</v>
      </c>
      <c r="M5" s="166" t="s">
        <v>14</v>
      </c>
      <c r="N5" s="166" t="s">
        <v>15</v>
      </c>
      <c r="O5" s="167" t="s">
        <v>16</v>
      </c>
    </row>
    <row r="6" s="33" customFormat="1" ht="15.75" spans="1:17">
      <c r="A6" s="51">
        <v>1</v>
      </c>
      <c r="B6" s="228">
        <f>G20</f>
        <v>2019</v>
      </c>
      <c r="C6" s="52" t="s">
        <v>17</v>
      </c>
      <c r="D6" s="53">
        <v>4500</v>
      </c>
      <c r="E6" s="53">
        <v>500</v>
      </c>
      <c r="F6" s="54">
        <f t="shared" ref="F6:F12" si="0">D6-E6</f>
        <v>4000</v>
      </c>
      <c r="G6" s="55">
        <f t="shared" ref="G6:G12" si="1">(E6/D6)*100</f>
        <v>11.1111111111111</v>
      </c>
      <c r="H6" s="56">
        <f t="shared" ref="H6:H12" si="2">100-G6</f>
        <v>88.8888888888889</v>
      </c>
      <c r="I6" s="57">
        <v>10</v>
      </c>
      <c r="J6" s="101">
        <f t="shared" ref="J6:J12" si="3">D6*I6</f>
        <v>45000</v>
      </c>
      <c r="K6" s="168">
        <f t="shared" ref="K6:K12" si="4">E6*I6</f>
        <v>5000</v>
      </c>
      <c r="L6" s="101">
        <f t="shared" ref="L6:L12" si="5">F6*I6</f>
        <v>40000</v>
      </c>
      <c r="M6" s="169">
        <f t="shared" ref="M6:M14" si="6">I6/12</f>
        <v>0.833333333333333</v>
      </c>
      <c r="N6" s="170">
        <f t="shared" ref="N6:N12" si="7">J6/12</f>
        <v>3750</v>
      </c>
      <c r="O6" s="171">
        <f t="shared" ref="O6:O12" si="8">K6/12</f>
        <v>416.666666666667</v>
      </c>
      <c r="P6" s="113"/>
      <c r="Q6" s="113"/>
    </row>
    <row r="7" s="33" customFormat="1" ht="15.75" spans="1:17">
      <c r="A7" s="58">
        <v>2</v>
      </c>
      <c r="B7" s="229">
        <f>G20</f>
        <v>2019</v>
      </c>
      <c r="C7" s="59" t="s">
        <v>18</v>
      </c>
      <c r="D7" s="60">
        <v>20000</v>
      </c>
      <c r="E7" s="60">
        <v>500</v>
      </c>
      <c r="F7" s="61">
        <f t="shared" si="0"/>
        <v>19500</v>
      </c>
      <c r="G7" s="62">
        <f t="shared" si="1"/>
        <v>2.5</v>
      </c>
      <c r="H7" s="63">
        <f t="shared" si="2"/>
        <v>97.5</v>
      </c>
      <c r="I7" s="64">
        <v>7</v>
      </c>
      <c r="J7" s="108">
        <f t="shared" si="3"/>
        <v>140000</v>
      </c>
      <c r="K7" s="172">
        <f t="shared" si="4"/>
        <v>3500</v>
      </c>
      <c r="L7" s="108">
        <f t="shared" si="5"/>
        <v>136500</v>
      </c>
      <c r="M7" s="173">
        <f t="shared" si="6"/>
        <v>0.583333333333333</v>
      </c>
      <c r="N7" s="174">
        <f t="shared" si="7"/>
        <v>11666.6666666667</v>
      </c>
      <c r="O7" s="171">
        <f t="shared" si="8"/>
        <v>291.666666666667</v>
      </c>
      <c r="P7" s="113"/>
      <c r="Q7" s="113"/>
    </row>
    <row r="8" s="33" customFormat="1" ht="15.75" spans="1:17">
      <c r="A8" s="58">
        <v>3</v>
      </c>
      <c r="B8" s="230">
        <f>G20</f>
        <v>2019</v>
      </c>
      <c r="C8" s="59" t="s">
        <v>19</v>
      </c>
      <c r="D8" s="60">
        <v>19999</v>
      </c>
      <c r="E8" s="60">
        <v>500</v>
      </c>
      <c r="F8" s="61">
        <f t="shared" si="0"/>
        <v>19499</v>
      </c>
      <c r="G8" s="62">
        <f t="shared" si="1"/>
        <v>2.50012500625031</v>
      </c>
      <c r="H8" s="63">
        <f t="shared" si="2"/>
        <v>97.4998749937497</v>
      </c>
      <c r="I8" s="64">
        <v>1</v>
      </c>
      <c r="J8" s="108">
        <f t="shared" si="3"/>
        <v>19999</v>
      </c>
      <c r="K8" s="172">
        <f t="shared" si="4"/>
        <v>500</v>
      </c>
      <c r="L8" s="108">
        <f t="shared" si="5"/>
        <v>19499</v>
      </c>
      <c r="M8" s="173">
        <f t="shared" si="6"/>
        <v>0.0833333333333333</v>
      </c>
      <c r="N8" s="174">
        <f t="shared" si="7"/>
        <v>1666.58333333333</v>
      </c>
      <c r="O8" s="171">
        <f t="shared" si="8"/>
        <v>41.6666666666667</v>
      </c>
      <c r="P8" s="113"/>
      <c r="Q8" s="113"/>
    </row>
    <row r="9" s="33" customFormat="1" ht="15.75" spans="1:17">
      <c r="A9" s="58">
        <v>4</v>
      </c>
      <c r="B9" s="229">
        <f>G20</f>
        <v>2019</v>
      </c>
      <c r="C9" s="59" t="s">
        <v>20</v>
      </c>
      <c r="D9" s="60">
        <v>2000</v>
      </c>
      <c r="E9" s="60">
        <v>500</v>
      </c>
      <c r="F9" s="61">
        <f t="shared" si="0"/>
        <v>1500</v>
      </c>
      <c r="G9" s="62">
        <f t="shared" si="1"/>
        <v>25</v>
      </c>
      <c r="H9" s="63">
        <f t="shared" si="2"/>
        <v>75</v>
      </c>
      <c r="I9" s="64">
        <v>10</v>
      </c>
      <c r="J9" s="108">
        <f t="shared" si="3"/>
        <v>20000</v>
      </c>
      <c r="K9" s="172">
        <f t="shared" si="4"/>
        <v>5000</v>
      </c>
      <c r="L9" s="108">
        <f t="shared" si="5"/>
        <v>15000</v>
      </c>
      <c r="M9" s="173">
        <f t="shared" si="6"/>
        <v>0.833333333333333</v>
      </c>
      <c r="N9" s="174">
        <f t="shared" si="7"/>
        <v>1666.66666666667</v>
      </c>
      <c r="O9" s="171">
        <f t="shared" si="8"/>
        <v>416.666666666667</v>
      </c>
      <c r="P9" s="113"/>
      <c r="Q9" s="113"/>
    </row>
    <row r="10" s="33" customFormat="1" ht="15.75" spans="1:17">
      <c r="A10" s="58">
        <v>5</v>
      </c>
      <c r="B10" s="230">
        <f>G20</f>
        <v>2019</v>
      </c>
      <c r="C10" s="59" t="s">
        <v>21</v>
      </c>
      <c r="D10" s="60">
        <v>7500</v>
      </c>
      <c r="E10" s="60">
        <v>500</v>
      </c>
      <c r="F10" s="61">
        <f t="shared" si="0"/>
        <v>7000</v>
      </c>
      <c r="G10" s="62">
        <f t="shared" si="1"/>
        <v>6.66666666666667</v>
      </c>
      <c r="H10" s="63">
        <f t="shared" si="2"/>
        <v>93.3333333333333</v>
      </c>
      <c r="I10" s="64">
        <v>2</v>
      </c>
      <c r="J10" s="108">
        <f t="shared" si="3"/>
        <v>15000</v>
      </c>
      <c r="K10" s="172">
        <f t="shared" si="4"/>
        <v>1000</v>
      </c>
      <c r="L10" s="108">
        <f t="shared" si="5"/>
        <v>14000</v>
      </c>
      <c r="M10" s="173">
        <f t="shared" si="6"/>
        <v>0.166666666666667</v>
      </c>
      <c r="N10" s="174">
        <f t="shared" si="7"/>
        <v>1250</v>
      </c>
      <c r="O10" s="171">
        <f t="shared" si="8"/>
        <v>83.3333333333333</v>
      </c>
      <c r="P10" s="113"/>
      <c r="Q10" s="113"/>
    </row>
    <row r="11" s="33" customFormat="1" ht="15.75" spans="1:17">
      <c r="A11" s="58">
        <v>6</v>
      </c>
      <c r="B11" s="230">
        <f>G20</f>
        <v>2019</v>
      </c>
      <c r="C11" s="59" t="s">
        <v>22</v>
      </c>
      <c r="D11" s="60">
        <v>9000</v>
      </c>
      <c r="E11" s="60">
        <v>500</v>
      </c>
      <c r="F11" s="61">
        <f t="shared" si="0"/>
        <v>8500</v>
      </c>
      <c r="G11" s="62">
        <f t="shared" si="1"/>
        <v>5.55555555555556</v>
      </c>
      <c r="H11" s="63">
        <f t="shared" si="2"/>
        <v>94.4444444444444</v>
      </c>
      <c r="I11" s="64">
        <v>4</v>
      </c>
      <c r="J11" s="108">
        <f t="shared" si="3"/>
        <v>36000</v>
      </c>
      <c r="K11" s="172">
        <f t="shared" si="4"/>
        <v>2000</v>
      </c>
      <c r="L11" s="108">
        <f t="shared" si="5"/>
        <v>34000</v>
      </c>
      <c r="M11" s="173">
        <f t="shared" si="6"/>
        <v>0.333333333333333</v>
      </c>
      <c r="N11" s="174">
        <f t="shared" si="7"/>
        <v>3000</v>
      </c>
      <c r="O11" s="171">
        <f t="shared" si="8"/>
        <v>166.666666666667</v>
      </c>
      <c r="P11" s="113"/>
      <c r="Q11" s="113"/>
    </row>
    <row r="12" s="33" customFormat="1" ht="15.75" spans="1:17">
      <c r="A12" s="58">
        <v>7</v>
      </c>
      <c r="B12" s="229">
        <f>G20</f>
        <v>2019</v>
      </c>
      <c r="C12" s="59" t="s">
        <v>23</v>
      </c>
      <c r="D12" s="60">
        <v>5000</v>
      </c>
      <c r="E12" s="60">
        <v>1000</v>
      </c>
      <c r="F12" s="61">
        <f t="shared" si="0"/>
        <v>4000</v>
      </c>
      <c r="G12" s="62">
        <f t="shared" si="1"/>
        <v>20</v>
      </c>
      <c r="H12" s="63">
        <f t="shared" si="2"/>
        <v>80</v>
      </c>
      <c r="I12" s="64">
        <v>3</v>
      </c>
      <c r="J12" s="108">
        <f t="shared" si="3"/>
        <v>15000</v>
      </c>
      <c r="K12" s="172">
        <f t="shared" si="4"/>
        <v>3000</v>
      </c>
      <c r="L12" s="108">
        <f t="shared" si="5"/>
        <v>12000</v>
      </c>
      <c r="M12" s="173">
        <f t="shared" si="6"/>
        <v>0.25</v>
      </c>
      <c r="N12" s="174">
        <f t="shared" si="7"/>
        <v>1250</v>
      </c>
      <c r="O12" s="171">
        <f t="shared" si="8"/>
        <v>250</v>
      </c>
      <c r="P12" s="113"/>
      <c r="Q12" s="113"/>
    </row>
    <row r="13" s="33" customFormat="1" ht="15.75" spans="1:17">
      <c r="A13" s="65"/>
      <c r="B13" s="231"/>
      <c r="C13" s="66"/>
      <c r="D13" s="67"/>
      <c r="E13" s="67"/>
      <c r="F13" s="68"/>
      <c r="G13" s="69"/>
      <c r="H13" s="70"/>
      <c r="I13" s="71"/>
      <c r="J13" s="175"/>
      <c r="K13" s="176"/>
      <c r="L13" s="175"/>
      <c r="M13" s="173">
        <f t="shared" si="6"/>
        <v>0</v>
      </c>
      <c r="N13" s="174"/>
      <c r="O13" s="171"/>
      <c r="P13" s="113"/>
      <c r="Q13" s="113"/>
    </row>
    <row r="14" s="33" customFormat="1" ht="16.5" spans="1:17">
      <c r="A14" s="65"/>
      <c r="B14" s="231"/>
      <c r="C14" s="66"/>
      <c r="D14" s="72"/>
      <c r="E14" s="72"/>
      <c r="F14" s="73"/>
      <c r="G14" s="74"/>
      <c r="H14" s="75"/>
      <c r="I14" s="76"/>
      <c r="J14" s="177"/>
      <c r="K14" s="178"/>
      <c r="L14" s="177"/>
      <c r="M14" s="179">
        <f t="shared" si="6"/>
        <v>0</v>
      </c>
      <c r="N14" s="180"/>
      <c r="O14" s="181"/>
      <c r="P14" s="113"/>
      <c r="Q14" s="113"/>
    </row>
    <row r="15" s="35" customFormat="1" ht="26.25" spans="1:17">
      <c r="A15" s="77"/>
      <c r="B15" s="80"/>
      <c r="C15" s="78"/>
      <c r="D15" s="79"/>
      <c r="E15" s="79"/>
      <c r="F15" s="80"/>
      <c r="G15" s="80"/>
      <c r="H15" s="81" t="s">
        <v>24</v>
      </c>
      <c r="I15" s="82">
        <f t="shared" ref="I15:O15" si="9">SUM(I6:I14)</f>
        <v>37</v>
      </c>
      <c r="J15" s="182">
        <f t="shared" si="9"/>
        <v>290999</v>
      </c>
      <c r="K15" s="183">
        <f t="shared" si="9"/>
        <v>20000</v>
      </c>
      <c r="L15" s="182">
        <f t="shared" si="9"/>
        <v>270999</v>
      </c>
      <c r="M15" s="184">
        <f t="shared" si="9"/>
        <v>3.08333333333333</v>
      </c>
      <c r="N15" s="185">
        <f t="shared" si="9"/>
        <v>24249.9166666667</v>
      </c>
      <c r="O15" s="186">
        <f t="shared" si="9"/>
        <v>1666.66666666667</v>
      </c>
      <c r="P15" s="187"/>
      <c r="Q15" s="187"/>
    </row>
    <row r="17" ht="15"/>
    <row r="18" s="36" customFormat="1" ht="64" customHeight="1" spans="1:17">
      <c r="A18" s="84" t="s">
        <v>25</v>
      </c>
      <c r="B18" s="85"/>
      <c r="C18" s="85"/>
      <c r="D18" s="85"/>
      <c r="E18" s="86"/>
      <c r="F18" s="232"/>
      <c r="G18" s="84" t="s">
        <v>26</v>
      </c>
      <c r="H18" s="85"/>
      <c r="I18" s="85"/>
      <c r="J18" s="248" t="s">
        <v>26</v>
      </c>
      <c r="K18" s="249"/>
      <c r="L18" s="250"/>
      <c r="M18" s="251"/>
      <c r="N18" s="251"/>
      <c r="O18" s="251"/>
      <c r="P18" s="251"/>
      <c r="Q18" s="251"/>
    </row>
    <row r="19" s="37" customFormat="1" ht="48" spans="1:17">
      <c r="A19" s="91" t="s">
        <v>27</v>
      </c>
      <c r="B19" s="233" t="s">
        <v>3</v>
      </c>
      <c r="C19" s="92" t="s">
        <v>28</v>
      </c>
      <c r="D19" s="93" t="s">
        <v>29</v>
      </c>
      <c r="E19" s="94" t="s">
        <v>30</v>
      </c>
      <c r="F19" s="34"/>
      <c r="G19" s="130" t="s">
        <v>3</v>
      </c>
      <c r="H19" s="234" t="s">
        <v>29</v>
      </c>
      <c r="I19" s="252" t="s">
        <v>30</v>
      </c>
      <c r="J19" s="253" t="s">
        <v>31</v>
      </c>
      <c r="K19" s="254" t="s">
        <v>32</v>
      </c>
      <c r="L19" s="113"/>
      <c r="M19" s="34"/>
      <c r="N19" s="34"/>
      <c r="O19" s="34"/>
      <c r="P19" s="34"/>
      <c r="Q19" s="34"/>
    </row>
    <row r="20" s="33" customFormat="1" ht="15.75" spans="1:17">
      <c r="A20" s="51">
        <v>1</v>
      </c>
      <c r="B20" s="228">
        <f>G20</f>
        <v>2019</v>
      </c>
      <c r="C20" s="99" t="s">
        <v>33</v>
      </c>
      <c r="D20" s="100">
        <v>12000</v>
      </c>
      <c r="E20" s="101">
        <f t="shared" ref="E20:E23" si="10">D20*12</f>
        <v>144000</v>
      </c>
      <c r="F20" s="113"/>
      <c r="G20" s="235">
        <v>2019</v>
      </c>
      <c r="H20" s="236">
        <v>5000</v>
      </c>
      <c r="I20" s="255">
        <f>H20*12</f>
        <v>60000</v>
      </c>
      <c r="J20" s="256">
        <f>K20/12</f>
        <v>5083.25</v>
      </c>
      <c r="K20" s="257">
        <f>J15-(E25+K15)</f>
        <v>60999</v>
      </c>
      <c r="L20" s="113"/>
      <c r="M20" s="113"/>
      <c r="N20" s="113"/>
      <c r="O20" s="113"/>
      <c r="P20" s="113"/>
      <c r="Q20" s="113"/>
    </row>
    <row r="21" s="33" customFormat="1" ht="16.5" spans="1:17">
      <c r="A21" s="58">
        <v>2</v>
      </c>
      <c r="B21" s="229">
        <f>G20</f>
        <v>2019</v>
      </c>
      <c r="C21" s="106" t="s">
        <v>34</v>
      </c>
      <c r="D21" s="107">
        <v>1500</v>
      </c>
      <c r="E21" s="108">
        <f t="shared" si="10"/>
        <v>18000</v>
      </c>
      <c r="F21" s="113"/>
      <c r="G21" s="157"/>
      <c r="H21" s="237"/>
      <c r="I21" s="258"/>
      <c r="J21" s="237"/>
      <c r="K21" s="259"/>
      <c r="L21" s="113"/>
      <c r="M21" s="113"/>
      <c r="N21" s="113"/>
      <c r="O21" s="113"/>
      <c r="P21" s="113"/>
      <c r="Q21" s="113"/>
    </row>
    <row r="22" s="33" customFormat="1" ht="15.75" spans="1:17">
      <c r="A22" s="58">
        <v>3</v>
      </c>
      <c r="B22" s="230">
        <f>G20</f>
        <v>2019</v>
      </c>
      <c r="C22" s="106" t="s">
        <v>35</v>
      </c>
      <c r="D22" s="107">
        <v>1000</v>
      </c>
      <c r="E22" s="108">
        <f t="shared" si="10"/>
        <v>12000</v>
      </c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</row>
    <row r="23" ht="18.75" spans="1:11">
      <c r="A23" s="115">
        <v>4</v>
      </c>
      <c r="B23" s="223">
        <v>2019</v>
      </c>
      <c r="C23" s="116" t="s">
        <v>36</v>
      </c>
      <c r="D23" s="117">
        <v>3000</v>
      </c>
      <c r="E23" s="118">
        <f t="shared" si="10"/>
        <v>36000</v>
      </c>
      <c r="G23" s="238" t="s">
        <v>37</v>
      </c>
      <c r="H23" s="238"/>
      <c r="I23" s="238"/>
      <c r="J23" s="238"/>
      <c r="K23" s="238"/>
    </row>
    <row r="24" ht="47.25" spans="1:11">
      <c r="A24" s="115"/>
      <c r="B24" s="223"/>
      <c r="C24" s="116"/>
      <c r="D24" s="117"/>
      <c r="E24" s="118"/>
      <c r="G24" s="239" t="s">
        <v>3</v>
      </c>
      <c r="H24" s="240" t="s">
        <v>11</v>
      </c>
      <c r="I24" s="240" t="s">
        <v>38</v>
      </c>
      <c r="J24" s="240" t="s">
        <v>39</v>
      </c>
      <c r="K24" s="260" t="s">
        <v>32</v>
      </c>
    </row>
    <row r="25" s="38" customFormat="1" ht="26.25" spans="1:17">
      <c r="A25" s="122"/>
      <c r="B25" s="241"/>
      <c r="C25" s="123" t="s">
        <v>40</v>
      </c>
      <c r="D25" s="124">
        <f>SUM(D20:D24)</f>
        <v>17500</v>
      </c>
      <c r="E25" s="125">
        <f>SUM(E20:E24)</f>
        <v>210000</v>
      </c>
      <c r="F25" s="126"/>
      <c r="G25" s="122">
        <f>G20</f>
        <v>2019</v>
      </c>
      <c r="H25" s="242">
        <f>Q31</f>
        <v>202749.76</v>
      </c>
      <c r="I25" s="242">
        <f>Q32</f>
        <v>210000</v>
      </c>
      <c r="J25" s="242">
        <f>Q33</f>
        <v>21733.37</v>
      </c>
      <c r="K25" s="261">
        <f>H25-(I25+J25)</f>
        <v>-28983.61</v>
      </c>
      <c r="L25" s="126"/>
      <c r="M25" s="126"/>
      <c r="N25" s="126"/>
      <c r="O25" s="126"/>
      <c r="P25" s="126"/>
      <c r="Q25" s="126"/>
    </row>
    <row r="28" spans="4:6">
      <c r="D28" s="129"/>
      <c r="E28" s="129"/>
      <c r="F28" s="129"/>
    </row>
    <row r="29" s="39" customFormat="1" ht="24" spans="1:17">
      <c r="A29" s="41" t="s">
        <v>41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</row>
    <row r="30" s="37" customFormat="1" ht="63" spans="1:17">
      <c r="A30" s="130" t="s">
        <v>27</v>
      </c>
      <c r="B30" s="243" t="s">
        <v>3</v>
      </c>
      <c r="C30" s="131" t="s">
        <v>42</v>
      </c>
      <c r="D30" s="132"/>
      <c r="E30" s="133" t="s">
        <v>43</v>
      </c>
      <c r="F30" s="134" t="s">
        <v>44</v>
      </c>
      <c r="G30" s="134" t="s">
        <v>45</v>
      </c>
      <c r="H30" s="134" t="s">
        <v>46</v>
      </c>
      <c r="I30" s="134" t="s">
        <v>47</v>
      </c>
      <c r="J30" s="134" t="s">
        <v>48</v>
      </c>
      <c r="K30" s="134" t="s">
        <v>49</v>
      </c>
      <c r="L30" s="134" t="s">
        <v>50</v>
      </c>
      <c r="M30" s="134" t="s">
        <v>51</v>
      </c>
      <c r="N30" s="134" t="s">
        <v>52</v>
      </c>
      <c r="O30" s="134" t="s">
        <v>53</v>
      </c>
      <c r="P30" s="195" t="s">
        <v>54</v>
      </c>
      <c r="Q30" s="196" t="s">
        <v>55</v>
      </c>
    </row>
    <row r="31" s="33" customFormat="1" ht="15.75" spans="1:17">
      <c r="A31" s="138"/>
      <c r="B31" s="230">
        <f>G20</f>
        <v>2019</v>
      </c>
      <c r="C31" s="139" t="s">
        <v>56</v>
      </c>
      <c r="D31" s="140"/>
      <c r="E31" s="244">
        <v>50000</v>
      </c>
      <c r="F31" s="244">
        <v>24249.92</v>
      </c>
      <c r="G31" s="244">
        <v>0</v>
      </c>
      <c r="H31" s="244">
        <v>0</v>
      </c>
      <c r="I31" s="244">
        <v>10000</v>
      </c>
      <c r="J31" s="244">
        <v>10000</v>
      </c>
      <c r="K31" s="244">
        <v>0</v>
      </c>
      <c r="L31" s="244">
        <v>0</v>
      </c>
      <c r="M31" s="244">
        <v>50000</v>
      </c>
      <c r="N31" s="244">
        <v>24249.92</v>
      </c>
      <c r="O31" s="244">
        <v>10000</v>
      </c>
      <c r="P31" s="244">
        <v>24249.92</v>
      </c>
      <c r="Q31" s="198">
        <f>SUM(E31:P31)</f>
        <v>202749.76</v>
      </c>
    </row>
    <row r="32" s="33" customFormat="1" ht="15.75" spans="1:17">
      <c r="A32" s="58">
        <v>2</v>
      </c>
      <c r="B32" s="229">
        <f>G20</f>
        <v>2019</v>
      </c>
      <c r="C32" s="150" t="s">
        <v>57</v>
      </c>
      <c r="D32" s="151"/>
      <c r="E32" s="245">
        <f>D25</f>
        <v>17500</v>
      </c>
      <c r="F32" s="236">
        <f>D25</f>
        <v>17500</v>
      </c>
      <c r="G32" s="236">
        <f>D25</f>
        <v>17500</v>
      </c>
      <c r="H32" s="236">
        <f>D25</f>
        <v>17500</v>
      </c>
      <c r="I32" s="236">
        <f>D25</f>
        <v>17500</v>
      </c>
      <c r="J32" s="236">
        <f>D25</f>
        <v>17500</v>
      </c>
      <c r="K32" s="236">
        <f>D25</f>
        <v>17500</v>
      </c>
      <c r="L32" s="236">
        <f>D25</f>
        <v>17500</v>
      </c>
      <c r="M32" s="236">
        <f>D25</f>
        <v>17500</v>
      </c>
      <c r="N32" s="236">
        <f>D25</f>
        <v>17500</v>
      </c>
      <c r="O32" s="236">
        <f>D25</f>
        <v>17500</v>
      </c>
      <c r="P32" s="262">
        <f>D25</f>
        <v>17500</v>
      </c>
      <c r="Q32" s="263">
        <f>SUM(E32:P32)</f>
        <v>210000</v>
      </c>
    </row>
    <row r="33" s="33" customFormat="1" ht="16.5" spans="1:17">
      <c r="A33" s="157">
        <v>3</v>
      </c>
      <c r="B33" s="237">
        <f>G20</f>
        <v>2019</v>
      </c>
      <c r="C33" s="158" t="s">
        <v>58</v>
      </c>
      <c r="D33" s="159"/>
      <c r="E33" s="246">
        <v>3400</v>
      </c>
      <c r="F33" s="247">
        <v>1666.67</v>
      </c>
      <c r="G33" s="247">
        <v>1666.67</v>
      </c>
      <c r="H33" s="247">
        <v>1666.67</v>
      </c>
      <c r="I33" s="247">
        <v>1666.67</v>
      </c>
      <c r="J33" s="247">
        <v>1666.67</v>
      </c>
      <c r="K33" s="247">
        <v>1666.67</v>
      </c>
      <c r="L33" s="247">
        <v>1666.67</v>
      </c>
      <c r="M33" s="247">
        <v>1666.67</v>
      </c>
      <c r="N33" s="247">
        <v>1666.67</v>
      </c>
      <c r="O33" s="247">
        <v>1666.67</v>
      </c>
      <c r="P33" s="247">
        <v>1666.67</v>
      </c>
      <c r="Q33" s="264">
        <f>SUM(E33:P33)</f>
        <v>21733.37</v>
      </c>
    </row>
  </sheetData>
  <mergeCells count="12">
    <mergeCell ref="A3:O3"/>
    <mergeCell ref="A4:H4"/>
    <mergeCell ref="I4:O4"/>
    <mergeCell ref="A18:E18"/>
    <mergeCell ref="G18:I18"/>
    <mergeCell ref="J18:K18"/>
    <mergeCell ref="G23:K23"/>
    <mergeCell ref="A29:Q29"/>
    <mergeCell ref="C30:D30"/>
    <mergeCell ref="C31:D31"/>
    <mergeCell ref="C32:D32"/>
    <mergeCell ref="C33:D33"/>
  </mergeCells>
  <pageMargins left="0.751388888888889" right="0.751388888888889" top="1" bottom="1" header="0.511805555555556" footer="0.511805555555556"/>
  <pageSetup paperSize="9" scale="10" fitToHeight="0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Q24"/>
  <sheetViews>
    <sheetView workbookViewId="0">
      <selection activeCell="C20" sqref="C20"/>
    </sheetView>
  </sheetViews>
  <sheetFormatPr defaultColWidth="9.02654867256637" defaultRowHeight="14.25"/>
  <cols>
    <col min="2" max="2" width="20.8849557522124" customWidth="1"/>
    <col min="3" max="3" width="10.5309734513274" style="129"/>
    <col min="5" max="17" width="9.02654867256637" style="3"/>
  </cols>
  <sheetData>
    <row r="6" spans="2:3">
      <c r="B6" t="s">
        <v>59</v>
      </c>
      <c r="C6" s="129">
        <v>14500</v>
      </c>
    </row>
    <row r="7" spans="2:3">
      <c r="B7" t="s">
        <v>60</v>
      </c>
      <c r="C7" s="129">
        <v>3000</v>
      </c>
    </row>
    <row r="8" spans="2:3">
      <c r="B8" t="s">
        <v>61</v>
      </c>
      <c r="C8" s="129">
        <v>0</v>
      </c>
    </row>
    <row r="11" spans="2:3">
      <c r="B11" t="s">
        <v>62</v>
      </c>
      <c r="C11" s="129">
        <f>SUM(C6:C10)</f>
        <v>17500</v>
      </c>
    </row>
    <row r="12" spans="2:3">
      <c r="B12" t="s">
        <v>63</v>
      </c>
      <c r="C12" s="129">
        <f>C11*12</f>
        <v>210000</v>
      </c>
    </row>
    <row r="14" spans="2:3">
      <c r="B14" t="s">
        <v>64</v>
      </c>
      <c r="C14" s="129">
        <v>60000</v>
      </c>
    </row>
    <row r="16" spans="2:3">
      <c r="B16" t="s">
        <v>65</v>
      </c>
      <c r="C16" s="129">
        <f>C12+C14</f>
        <v>270000</v>
      </c>
    </row>
    <row r="18" spans="2:3">
      <c r="B18" t="s">
        <v>66</v>
      </c>
      <c r="C18" s="129">
        <f>0.75</f>
        <v>0.75</v>
      </c>
    </row>
    <row r="20" spans="2:3">
      <c r="B20" t="s">
        <v>67</v>
      </c>
      <c r="C20" s="129">
        <f>C16/C18</f>
        <v>360000</v>
      </c>
    </row>
    <row r="21" spans="2:3">
      <c r="B21" t="s">
        <v>68</v>
      </c>
      <c r="C21" s="129">
        <f>C20/12</f>
        <v>30000</v>
      </c>
    </row>
    <row r="24" spans="5:5">
      <c r="E24" s="3">
        <v>2019</v>
      </c>
    </row>
  </sheetData>
  <mergeCells count="1">
    <mergeCell ref="E24:Q24"/>
  </mergeCells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36"/>
  <sheetViews>
    <sheetView zoomScale="85" zoomScaleNormal="85" topLeftCell="A4" workbookViewId="0">
      <selection activeCell="D16" sqref="D16"/>
    </sheetView>
  </sheetViews>
  <sheetFormatPr defaultColWidth="9.02654867256637" defaultRowHeight="14.25"/>
  <cols>
    <col min="2" max="2" width="22.8230088495575" style="1" customWidth="1"/>
    <col min="3" max="3" width="16.3008849557522" style="3" customWidth="1"/>
    <col min="4" max="4" width="14.1769911504425" style="209" customWidth="1"/>
    <col min="5" max="5" width="13.8407079646018" style="209" customWidth="1"/>
    <col min="6" max="15" width="10.4690265486726" style="209" customWidth="1"/>
  </cols>
  <sheetData>
    <row r="2" spans="3:4">
      <c r="C2" s="210" t="s">
        <v>69</v>
      </c>
      <c r="D2" s="210" t="s">
        <v>70</v>
      </c>
    </row>
    <row r="3" spans="2:4">
      <c r="B3" s="1" t="s">
        <v>59</v>
      </c>
      <c r="C3" s="211">
        <v>14500</v>
      </c>
      <c r="D3" s="209">
        <f>C3*12</f>
        <v>174000</v>
      </c>
    </row>
    <row r="4" spans="2:4">
      <c r="B4" s="1" t="s">
        <v>61</v>
      </c>
      <c r="C4" s="209">
        <v>0</v>
      </c>
      <c r="D4" s="209">
        <f>C4*12</f>
        <v>0</v>
      </c>
    </row>
    <row r="5" spans="2:4">
      <c r="B5" s="1" t="s">
        <v>71</v>
      </c>
      <c r="C5" s="209">
        <v>0</v>
      </c>
      <c r="D5" s="209">
        <f>C5*12</f>
        <v>0</v>
      </c>
    </row>
    <row r="6" spans="2:4">
      <c r="B6" s="1" t="s">
        <v>72</v>
      </c>
      <c r="C6" s="209">
        <v>3000</v>
      </c>
      <c r="D6" s="209">
        <f>C6*12</f>
        <v>36000</v>
      </c>
    </row>
    <row r="7" spans="3:4">
      <c r="C7" s="209">
        <f>SUM(C3:C6)</f>
        <v>17500</v>
      </c>
      <c r="D7" s="209">
        <f>SUM(D3:D6)</f>
        <v>210000</v>
      </c>
    </row>
    <row r="8" spans="3:3">
      <c r="C8" s="209"/>
    </row>
    <row r="9" spans="2:4">
      <c r="B9" s="1" t="s">
        <v>64</v>
      </c>
      <c r="C9" s="209"/>
      <c r="D9" s="209">
        <v>60000</v>
      </c>
    </row>
    <row r="10" spans="3:3">
      <c r="C10" s="209"/>
    </row>
    <row r="11" spans="2:4">
      <c r="B11" s="1" t="s">
        <v>65</v>
      </c>
      <c r="C11" s="209"/>
      <c r="D11" s="209">
        <f>D7+D9</f>
        <v>270000</v>
      </c>
    </row>
    <row r="12" spans="3:3">
      <c r="C12" s="209"/>
    </row>
    <row r="13" spans="2:4">
      <c r="B13" s="1" t="s">
        <v>66</v>
      </c>
      <c r="C13" s="209"/>
      <c r="D13" s="209">
        <v>0.75</v>
      </c>
    </row>
    <row r="14" spans="3:3">
      <c r="C14" s="209"/>
    </row>
    <row r="15" spans="3:3">
      <c r="C15" s="209"/>
    </row>
    <row r="16" spans="2:4">
      <c r="B16" s="1" t="s">
        <v>67</v>
      </c>
      <c r="C16" s="209"/>
      <c r="D16" s="209">
        <f>D11/D13</f>
        <v>360000</v>
      </c>
    </row>
    <row r="17" spans="2:4">
      <c r="B17" s="1" t="s">
        <v>68</v>
      </c>
      <c r="D17" s="209">
        <f>D16/12</f>
        <v>30000</v>
      </c>
    </row>
    <row r="18" ht="18.75" spans="4:15">
      <c r="D18" s="212">
        <v>2019</v>
      </c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</row>
    <row r="19" s="37" customFormat="1" ht="15.75" spans="2:15">
      <c r="B19" s="213"/>
      <c r="C19" s="214" t="s">
        <v>73</v>
      </c>
      <c r="D19" s="215" t="s">
        <v>74</v>
      </c>
      <c r="E19" s="215" t="s">
        <v>75</v>
      </c>
      <c r="F19" s="215" t="s">
        <v>76</v>
      </c>
      <c r="G19" s="215" t="s">
        <v>77</v>
      </c>
      <c r="H19" s="215" t="s">
        <v>78</v>
      </c>
      <c r="I19" s="215" t="s">
        <v>79</v>
      </c>
      <c r="J19" s="215" t="s">
        <v>80</v>
      </c>
      <c r="K19" s="215" t="s">
        <v>81</v>
      </c>
      <c r="L19" s="215" t="s">
        <v>82</v>
      </c>
      <c r="M19" s="215" t="s">
        <v>83</v>
      </c>
      <c r="N19" s="215" t="s">
        <v>84</v>
      </c>
      <c r="O19" s="224" t="s">
        <v>85</v>
      </c>
    </row>
    <row r="20" spans="2:15">
      <c r="B20" s="216" t="s">
        <v>86</v>
      </c>
      <c r="C20" s="217">
        <f>SUM(D20:O20)</f>
        <v>360000</v>
      </c>
      <c r="D20" s="217">
        <f>D17</f>
        <v>30000</v>
      </c>
      <c r="E20" s="217">
        <f>D17</f>
        <v>30000</v>
      </c>
      <c r="F20" s="217">
        <f>D17</f>
        <v>30000</v>
      </c>
      <c r="G20" s="217">
        <f>D17</f>
        <v>30000</v>
      </c>
      <c r="H20" s="217">
        <f>D17</f>
        <v>30000</v>
      </c>
      <c r="I20" s="217">
        <f>D17</f>
        <v>30000</v>
      </c>
      <c r="J20" s="217">
        <f>D17</f>
        <v>30000</v>
      </c>
      <c r="K20" s="217">
        <f>D17</f>
        <v>30000</v>
      </c>
      <c r="L20" s="217">
        <f>D17</f>
        <v>30000</v>
      </c>
      <c r="M20" s="217">
        <f>D17</f>
        <v>30000</v>
      </c>
      <c r="N20" s="217">
        <f>D17</f>
        <v>30000</v>
      </c>
      <c r="O20" s="225">
        <f>D17</f>
        <v>30000</v>
      </c>
    </row>
    <row r="21" spans="2:15">
      <c r="B21" s="216" t="s">
        <v>87</v>
      </c>
      <c r="C21" s="217">
        <f>SUM(D21:O21)</f>
        <v>350000</v>
      </c>
      <c r="D21" s="218">
        <v>20000</v>
      </c>
      <c r="E21" s="218">
        <v>30000</v>
      </c>
      <c r="F21" s="218">
        <v>30000</v>
      </c>
      <c r="G21" s="218">
        <v>30000</v>
      </c>
      <c r="H21" s="218">
        <v>30000</v>
      </c>
      <c r="I21" s="218">
        <v>30000</v>
      </c>
      <c r="J21" s="218">
        <v>30000</v>
      </c>
      <c r="K21" s="218">
        <v>30000</v>
      </c>
      <c r="L21" s="218">
        <v>30000</v>
      </c>
      <c r="M21" s="218">
        <v>30000</v>
      </c>
      <c r="N21" s="218">
        <v>30000</v>
      </c>
      <c r="O21" s="218">
        <v>30000</v>
      </c>
    </row>
    <row r="22" spans="2:15">
      <c r="B22" s="216" t="s">
        <v>88</v>
      </c>
      <c r="C22" s="217">
        <f>C20-C21</f>
        <v>10000</v>
      </c>
      <c r="D22" s="217">
        <f>IF(D21=0,(D20-D21),((D20+C22)-D21))</f>
        <v>20000</v>
      </c>
      <c r="E22" s="217">
        <f>IF(E21=0,(E20-E21),((E20+D22)-E21))</f>
        <v>20000</v>
      </c>
      <c r="F22" s="217">
        <f>IF(F21=0,(F20-F21),((F20+E22)-F21))</f>
        <v>20000</v>
      </c>
      <c r="G22" s="217">
        <f t="shared" ref="E22:O22" si="0">IF(G21=0,(G20-G21),((G20+F22)-G21))</f>
        <v>20000</v>
      </c>
      <c r="H22" s="217">
        <f t="shared" si="0"/>
        <v>20000</v>
      </c>
      <c r="I22" s="217">
        <f t="shared" si="0"/>
        <v>20000</v>
      </c>
      <c r="J22" s="217">
        <f t="shared" si="0"/>
        <v>20000</v>
      </c>
      <c r="K22" s="217">
        <f t="shared" si="0"/>
        <v>20000</v>
      </c>
      <c r="L22" s="217">
        <f t="shared" si="0"/>
        <v>20000</v>
      </c>
      <c r="M22" s="217">
        <f t="shared" si="0"/>
        <v>20000</v>
      </c>
      <c r="N22" s="217">
        <f t="shared" si="0"/>
        <v>20000</v>
      </c>
      <c r="O22" s="225">
        <f t="shared" si="0"/>
        <v>20000</v>
      </c>
    </row>
    <row r="23" spans="2:15">
      <c r="B23" s="219" t="s">
        <v>89</v>
      </c>
      <c r="C23" s="220"/>
      <c r="D23" s="221">
        <f>IF(D21&lt;&gt;0,D21,IF(C21&lt;&gt;0,D22+C22,D22))-D21</f>
        <v>0</v>
      </c>
      <c r="E23" s="221">
        <f>IF(E21&lt;&gt;0,E21,IF(D21&lt;&gt;0,E22+D22,E22))-E21</f>
        <v>0</v>
      </c>
      <c r="F23" s="221">
        <f>IF(F21&lt;&gt;0,F21,IF(E21&lt;&gt;0,F22+E22,F22))-F21</f>
        <v>0</v>
      </c>
      <c r="G23" s="221">
        <f t="shared" ref="E23:O23" si="1">IF(G21&lt;&gt;0,G21,IF(F21&lt;&gt;0,G22+F22,G22))-G21</f>
        <v>0</v>
      </c>
      <c r="H23" s="221">
        <f t="shared" si="1"/>
        <v>0</v>
      </c>
      <c r="I23" s="221">
        <f t="shared" si="1"/>
        <v>0</v>
      </c>
      <c r="J23" s="221">
        <f t="shared" si="1"/>
        <v>0</v>
      </c>
      <c r="K23" s="221">
        <f t="shared" si="1"/>
        <v>0</v>
      </c>
      <c r="L23" s="221">
        <f t="shared" si="1"/>
        <v>0</v>
      </c>
      <c r="M23" s="221">
        <f t="shared" si="1"/>
        <v>0</v>
      </c>
      <c r="N23" s="221">
        <f t="shared" si="1"/>
        <v>0</v>
      </c>
      <c r="O23" s="226">
        <f t="shared" si="1"/>
        <v>0</v>
      </c>
    </row>
    <row r="24" spans="2:15">
      <c r="B24" s="222"/>
      <c r="C24" s="223"/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</row>
    <row r="25" spans="2:15">
      <c r="B25" s="222" t="s">
        <v>90</v>
      </c>
      <c r="C25" s="223"/>
      <c r="D25" s="217">
        <f t="shared" ref="D25:O25" si="2">D20*0.25</f>
        <v>7500</v>
      </c>
      <c r="E25" s="217">
        <f t="shared" si="2"/>
        <v>7500</v>
      </c>
      <c r="F25" s="217">
        <f t="shared" si="2"/>
        <v>7500</v>
      </c>
      <c r="G25" s="217">
        <f t="shared" si="2"/>
        <v>7500</v>
      </c>
      <c r="H25" s="217">
        <f t="shared" si="2"/>
        <v>7500</v>
      </c>
      <c r="I25" s="217">
        <f t="shared" si="2"/>
        <v>7500</v>
      </c>
      <c r="J25" s="217">
        <f t="shared" si="2"/>
        <v>7500</v>
      </c>
      <c r="K25" s="217">
        <f t="shared" si="2"/>
        <v>7500</v>
      </c>
      <c r="L25" s="217">
        <f t="shared" si="2"/>
        <v>7500</v>
      </c>
      <c r="M25" s="217">
        <f t="shared" si="2"/>
        <v>7500</v>
      </c>
      <c r="N25" s="217">
        <f t="shared" si="2"/>
        <v>7500</v>
      </c>
      <c r="O25" s="217">
        <f t="shared" si="2"/>
        <v>7500</v>
      </c>
    </row>
    <row r="26" spans="2:15">
      <c r="B26" s="222" t="s">
        <v>91</v>
      </c>
      <c r="C26" s="223"/>
      <c r="D26" s="217">
        <f t="shared" ref="D26:O26" si="3">D21*0.25</f>
        <v>5000</v>
      </c>
      <c r="E26" s="217">
        <f t="shared" si="3"/>
        <v>7500</v>
      </c>
      <c r="F26" s="217">
        <f t="shared" si="3"/>
        <v>7500</v>
      </c>
      <c r="G26" s="217">
        <f t="shared" si="3"/>
        <v>7500</v>
      </c>
      <c r="H26" s="217">
        <f t="shared" si="3"/>
        <v>7500</v>
      </c>
      <c r="I26" s="217">
        <f t="shared" si="3"/>
        <v>7500</v>
      </c>
      <c r="J26" s="217">
        <f t="shared" si="3"/>
        <v>7500</v>
      </c>
      <c r="K26" s="217">
        <f t="shared" si="3"/>
        <v>7500</v>
      </c>
      <c r="L26" s="217">
        <f t="shared" si="3"/>
        <v>7500</v>
      </c>
      <c r="M26" s="217">
        <f t="shared" si="3"/>
        <v>7500</v>
      </c>
      <c r="N26" s="217">
        <f t="shared" si="3"/>
        <v>7500</v>
      </c>
      <c r="O26" s="217">
        <f t="shared" si="3"/>
        <v>7500</v>
      </c>
    </row>
    <row r="27" spans="2:15">
      <c r="B27" s="222"/>
      <c r="C27" s="223"/>
      <c r="D27" s="217"/>
      <c r="E27" s="217"/>
      <c r="F27" s="217"/>
      <c r="G27" s="217"/>
      <c r="H27" s="217"/>
      <c r="I27" s="217"/>
      <c r="J27" s="217"/>
      <c r="K27" s="217"/>
      <c r="L27" s="217"/>
      <c r="M27" s="217"/>
      <c r="N27" s="217"/>
      <c r="O27" s="217"/>
    </row>
    <row r="28" spans="2:15">
      <c r="B28" s="222" t="s">
        <v>92</v>
      </c>
      <c r="C28" s="223"/>
      <c r="D28" s="217">
        <f>D21-D26</f>
        <v>15000</v>
      </c>
      <c r="E28" s="217">
        <f t="shared" ref="E28:O28" si="4">E21-E26</f>
        <v>22500</v>
      </c>
      <c r="F28" s="217">
        <f t="shared" si="4"/>
        <v>22500</v>
      </c>
      <c r="G28" s="217">
        <f t="shared" si="4"/>
        <v>22500</v>
      </c>
      <c r="H28" s="217">
        <f t="shared" si="4"/>
        <v>22500</v>
      </c>
      <c r="I28" s="217">
        <f t="shared" si="4"/>
        <v>22500</v>
      </c>
      <c r="J28" s="217">
        <f t="shared" si="4"/>
        <v>22500</v>
      </c>
      <c r="K28" s="217">
        <f t="shared" si="4"/>
        <v>22500</v>
      </c>
      <c r="L28" s="217">
        <f t="shared" si="4"/>
        <v>22500</v>
      </c>
      <c r="M28" s="217">
        <f t="shared" si="4"/>
        <v>22500</v>
      </c>
      <c r="N28" s="217">
        <f t="shared" si="4"/>
        <v>22500</v>
      </c>
      <c r="O28" s="217">
        <f t="shared" si="4"/>
        <v>22500</v>
      </c>
    </row>
    <row r="29" spans="2:15">
      <c r="B29" s="222"/>
      <c r="C29" s="223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</row>
    <row r="30" spans="2:15">
      <c r="B30" s="222" t="s">
        <v>93</v>
      </c>
      <c r="C30" s="223"/>
      <c r="D30" s="217">
        <v>3000</v>
      </c>
      <c r="E30" s="217">
        <v>3000</v>
      </c>
      <c r="F30" s="217">
        <v>3000</v>
      </c>
      <c r="G30" s="217">
        <v>3000</v>
      </c>
      <c r="H30" s="217">
        <v>3000</v>
      </c>
      <c r="I30" s="217">
        <v>3000</v>
      </c>
      <c r="J30" s="217">
        <v>3000</v>
      </c>
      <c r="K30" s="217">
        <v>3000</v>
      </c>
      <c r="L30" s="217">
        <v>3000</v>
      </c>
      <c r="M30" s="217">
        <v>3000</v>
      </c>
      <c r="N30" s="217">
        <v>3000</v>
      </c>
      <c r="O30" s="217">
        <v>3000</v>
      </c>
    </row>
    <row r="31" spans="2:15">
      <c r="B31" s="222"/>
      <c r="C31" s="223"/>
      <c r="D31" s="217"/>
      <c r="E31" s="217"/>
      <c r="F31" s="217"/>
      <c r="G31" s="217"/>
      <c r="H31" s="217"/>
      <c r="I31" s="217"/>
      <c r="J31" s="217"/>
      <c r="K31" s="217"/>
      <c r="L31" s="217"/>
      <c r="M31" s="217"/>
      <c r="N31" s="217"/>
      <c r="O31" s="217"/>
    </row>
    <row r="32" spans="2:15">
      <c r="B32" s="222" t="s">
        <v>94</v>
      </c>
      <c r="C32" s="223"/>
      <c r="D32" s="217">
        <v>14500</v>
      </c>
      <c r="E32" s="217">
        <v>14500</v>
      </c>
      <c r="F32" s="217">
        <v>14500</v>
      </c>
      <c r="G32" s="217">
        <v>14500</v>
      </c>
      <c r="H32" s="217">
        <v>14500</v>
      </c>
      <c r="I32" s="217">
        <v>14500</v>
      </c>
      <c r="J32" s="217">
        <v>14500</v>
      </c>
      <c r="K32" s="217">
        <v>14500</v>
      </c>
      <c r="L32" s="217">
        <v>14500</v>
      </c>
      <c r="M32" s="217">
        <v>14500</v>
      </c>
      <c r="N32" s="217">
        <v>14500</v>
      </c>
      <c r="O32" s="217">
        <v>14500</v>
      </c>
    </row>
    <row r="33" spans="2:15">
      <c r="B33" s="222"/>
      <c r="C33" s="223"/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O33" s="217"/>
    </row>
    <row r="34" spans="2:15">
      <c r="B34" s="222" t="s">
        <v>95</v>
      </c>
      <c r="C34" s="223"/>
      <c r="D34" s="217">
        <f>D28-D30-D32</f>
        <v>-2500</v>
      </c>
      <c r="E34" s="217">
        <f t="shared" ref="E34:O34" si="5">E28-E30-E32</f>
        <v>5000</v>
      </c>
      <c r="F34" s="217">
        <f t="shared" si="5"/>
        <v>5000</v>
      </c>
      <c r="G34" s="217">
        <f t="shared" si="5"/>
        <v>5000</v>
      </c>
      <c r="H34" s="217">
        <f t="shared" si="5"/>
        <v>5000</v>
      </c>
      <c r="I34" s="217">
        <f t="shared" si="5"/>
        <v>5000</v>
      </c>
      <c r="J34" s="217">
        <f t="shared" si="5"/>
        <v>5000</v>
      </c>
      <c r="K34" s="217">
        <f t="shared" si="5"/>
        <v>5000</v>
      </c>
      <c r="L34" s="217">
        <f t="shared" si="5"/>
        <v>5000</v>
      </c>
      <c r="M34" s="217">
        <f t="shared" si="5"/>
        <v>5000</v>
      </c>
      <c r="N34" s="217">
        <f t="shared" si="5"/>
        <v>5000</v>
      </c>
      <c r="O34" s="217">
        <f t="shared" si="5"/>
        <v>5000</v>
      </c>
    </row>
    <row r="35" spans="2:15">
      <c r="B35" s="222"/>
      <c r="C35" s="223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</row>
    <row r="36" spans="2:15">
      <c r="B36" s="222" t="s">
        <v>96</v>
      </c>
      <c r="C36" s="223"/>
      <c r="D36" s="217">
        <f>D34</f>
        <v>-2500</v>
      </c>
      <c r="E36" s="217">
        <f>D36+E34</f>
        <v>2500</v>
      </c>
      <c r="F36" s="217">
        <f t="shared" ref="F36:O36" si="6">E36+F34</f>
        <v>7500</v>
      </c>
      <c r="G36" s="217">
        <f t="shared" si="6"/>
        <v>12500</v>
      </c>
      <c r="H36" s="217">
        <f t="shared" si="6"/>
        <v>17500</v>
      </c>
      <c r="I36" s="217">
        <f t="shared" si="6"/>
        <v>22500</v>
      </c>
      <c r="J36" s="217">
        <f t="shared" si="6"/>
        <v>27500</v>
      </c>
      <c r="K36" s="217">
        <f t="shared" si="6"/>
        <v>32500</v>
      </c>
      <c r="L36" s="217">
        <f t="shared" si="6"/>
        <v>37500</v>
      </c>
      <c r="M36" s="217">
        <f t="shared" si="6"/>
        <v>42500</v>
      </c>
      <c r="N36" s="217">
        <f t="shared" si="6"/>
        <v>47500</v>
      </c>
      <c r="O36" s="217">
        <f t="shared" si="6"/>
        <v>52500</v>
      </c>
    </row>
  </sheetData>
  <mergeCells count="1">
    <mergeCell ref="D18:O18"/>
  </mergeCells>
  <pageMargins left="0.75" right="0.75" top="1" bottom="1" header="0.511805555555556" footer="0.51180555555555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44"/>
  <sheetViews>
    <sheetView zoomScale="73" zoomScaleNormal="73" topLeftCell="A13" workbookViewId="0">
      <selection activeCell="F23" sqref="F23:J23"/>
    </sheetView>
  </sheetViews>
  <sheetFormatPr defaultColWidth="9.02654867256637" defaultRowHeight="14.25"/>
  <cols>
    <col min="1" max="1" width="3.79646017699115" style="3" customWidth="1"/>
    <col min="2" max="2" width="19.7079646017699" customWidth="1"/>
    <col min="3" max="3" width="12.6017699115044" style="3" customWidth="1"/>
    <col min="4" max="4" width="13.1327433628319" style="3" customWidth="1"/>
    <col min="5" max="5" width="12.5486725663717" style="3" customWidth="1"/>
    <col min="6" max="6" width="16.787610619469" style="3" customWidth="1"/>
    <col min="7" max="7" width="16.5663716814159" style="3" customWidth="1"/>
    <col min="8" max="8" width="15.6725663716814" style="3" customWidth="1"/>
    <col min="9" max="9" width="13.0884955752212" style="3" customWidth="1"/>
    <col min="10" max="10" width="19.353982300885" style="3" customWidth="1"/>
    <col min="11" max="11" width="16.0796460176991" style="3" customWidth="1"/>
    <col min="12" max="12" width="16.5752212389381" style="3" customWidth="1"/>
    <col min="13" max="13" width="17.0973451327434" style="3" customWidth="1"/>
    <col min="14" max="14" width="15.1061946902655" style="3" customWidth="1"/>
    <col min="15" max="15" width="16.5132743362832" style="3" customWidth="1"/>
    <col min="16" max="16" width="13.5221238938053" style="3" customWidth="1"/>
  </cols>
  <sheetData>
    <row r="3" s="32" customFormat="1" ht="24" spans="1:16">
      <c r="A3" s="41" t="s">
        <v>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162"/>
      <c r="P3" s="162"/>
    </row>
    <row r="4" s="33" customFormat="1" ht="16.5" spans="1:16">
      <c r="A4" s="43" t="s">
        <v>1</v>
      </c>
      <c r="B4" s="44"/>
      <c r="C4" s="44"/>
      <c r="D4" s="44"/>
      <c r="E4" s="44"/>
      <c r="F4" s="44"/>
      <c r="G4" s="45"/>
      <c r="H4" s="46" t="s">
        <v>2</v>
      </c>
      <c r="I4" s="163"/>
      <c r="J4" s="163"/>
      <c r="K4" s="163"/>
      <c r="L4" s="163"/>
      <c r="M4" s="163"/>
      <c r="N4" s="164"/>
      <c r="O4" s="113"/>
      <c r="P4" s="113"/>
    </row>
    <row r="5" s="34" customFormat="1" ht="63.75" spans="1:14">
      <c r="A5" s="47" t="str">
        <f>UPPER("no")</f>
        <v>NO</v>
      </c>
      <c r="B5" s="48" t="s">
        <v>4</v>
      </c>
      <c r="C5" s="48" t="s">
        <v>5</v>
      </c>
      <c r="D5" s="48" t="s">
        <v>6</v>
      </c>
      <c r="E5" s="48" t="s">
        <v>7</v>
      </c>
      <c r="F5" s="48" t="s">
        <v>8</v>
      </c>
      <c r="G5" s="49" t="s">
        <v>9</v>
      </c>
      <c r="H5" s="50" t="s">
        <v>10</v>
      </c>
      <c r="I5" s="165" t="s">
        <v>11</v>
      </c>
      <c r="J5" s="50" t="s">
        <v>12</v>
      </c>
      <c r="K5" s="165" t="s">
        <v>13</v>
      </c>
      <c r="L5" s="166" t="s">
        <v>14</v>
      </c>
      <c r="M5" s="166" t="s">
        <v>15</v>
      </c>
      <c r="N5" s="167" t="s">
        <v>16</v>
      </c>
    </row>
    <row r="6" s="33" customFormat="1" ht="15.75" spans="1:16">
      <c r="A6" s="51">
        <v>1</v>
      </c>
      <c r="B6" s="52" t="s">
        <v>17</v>
      </c>
      <c r="C6" s="53">
        <v>4500</v>
      </c>
      <c r="D6" s="53">
        <v>900</v>
      </c>
      <c r="E6" s="54">
        <f t="shared" ref="E6:E12" si="0">C6-D6</f>
        <v>3600</v>
      </c>
      <c r="F6" s="55">
        <f t="shared" ref="F6:F12" si="1">(D6/C6)*100</f>
        <v>20</v>
      </c>
      <c r="G6" s="56">
        <f t="shared" ref="G6:G12" si="2">100-F6</f>
        <v>80</v>
      </c>
      <c r="H6" s="57">
        <v>10</v>
      </c>
      <c r="I6" s="101">
        <f t="shared" ref="I6:I12" si="3">C6*H6</f>
        <v>45000</v>
      </c>
      <c r="J6" s="168">
        <f t="shared" ref="J6:J12" si="4">D6*H6</f>
        <v>9000</v>
      </c>
      <c r="K6" s="101">
        <f t="shared" ref="K6:K12" si="5">E6*H6</f>
        <v>36000</v>
      </c>
      <c r="L6" s="169">
        <f t="shared" ref="L6:N6" si="6">H6/12</f>
        <v>0.833333333333333</v>
      </c>
      <c r="M6" s="170">
        <f t="shared" si="6"/>
        <v>3750</v>
      </c>
      <c r="N6" s="171">
        <f t="shared" si="6"/>
        <v>750</v>
      </c>
      <c r="O6" s="113"/>
      <c r="P6" s="113"/>
    </row>
    <row r="7" s="33" customFormat="1" ht="15.75" spans="1:16">
      <c r="A7" s="58">
        <v>2</v>
      </c>
      <c r="B7" s="59" t="s">
        <v>18</v>
      </c>
      <c r="C7" s="60">
        <v>20000</v>
      </c>
      <c r="D7" s="60">
        <v>4000</v>
      </c>
      <c r="E7" s="61">
        <f t="shared" si="0"/>
        <v>16000</v>
      </c>
      <c r="F7" s="62">
        <f t="shared" si="1"/>
        <v>20</v>
      </c>
      <c r="G7" s="63">
        <f t="shared" si="2"/>
        <v>80</v>
      </c>
      <c r="H7" s="64">
        <v>5</v>
      </c>
      <c r="I7" s="108">
        <f t="shared" si="3"/>
        <v>100000</v>
      </c>
      <c r="J7" s="172">
        <f t="shared" si="4"/>
        <v>20000</v>
      </c>
      <c r="K7" s="108">
        <f t="shared" si="5"/>
        <v>80000</v>
      </c>
      <c r="L7" s="173">
        <f t="shared" ref="L7:N7" si="7">H7/12</f>
        <v>0.416666666666667</v>
      </c>
      <c r="M7" s="174">
        <f t="shared" si="7"/>
        <v>8333.33333333333</v>
      </c>
      <c r="N7" s="171">
        <f t="shared" si="7"/>
        <v>1666.66666666667</v>
      </c>
      <c r="O7" s="113"/>
      <c r="P7" s="113"/>
    </row>
    <row r="8" s="33" customFormat="1" ht="15.75" spans="1:16">
      <c r="A8" s="58">
        <v>3</v>
      </c>
      <c r="B8" s="59" t="s">
        <v>19</v>
      </c>
      <c r="C8" s="60">
        <v>20000</v>
      </c>
      <c r="D8" s="60">
        <v>4000</v>
      </c>
      <c r="E8" s="61">
        <f t="shared" si="0"/>
        <v>16000</v>
      </c>
      <c r="F8" s="62">
        <f t="shared" si="1"/>
        <v>20</v>
      </c>
      <c r="G8" s="63">
        <f t="shared" si="2"/>
        <v>80</v>
      </c>
      <c r="H8" s="64">
        <v>3</v>
      </c>
      <c r="I8" s="108">
        <f t="shared" si="3"/>
        <v>60000</v>
      </c>
      <c r="J8" s="172">
        <f t="shared" si="4"/>
        <v>12000</v>
      </c>
      <c r="K8" s="108">
        <f t="shared" si="5"/>
        <v>48000</v>
      </c>
      <c r="L8" s="173">
        <f t="shared" ref="L8:N8" si="8">H8/12</f>
        <v>0.25</v>
      </c>
      <c r="M8" s="174">
        <f t="shared" si="8"/>
        <v>5000</v>
      </c>
      <c r="N8" s="171">
        <f t="shared" si="8"/>
        <v>1000</v>
      </c>
      <c r="O8" s="113"/>
      <c r="P8" s="113"/>
    </row>
    <row r="9" s="33" customFormat="1" ht="15.75" spans="1:16">
      <c r="A9" s="58">
        <v>4</v>
      </c>
      <c r="B9" s="59" t="s">
        <v>20</v>
      </c>
      <c r="C9" s="60">
        <v>2000</v>
      </c>
      <c r="D9" s="60">
        <v>400</v>
      </c>
      <c r="E9" s="61">
        <f t="shared" si="0"/>
        <v>1600</v>
      </c>
      <c r="F9" s="62">
        <f t="shared" si="1"/>
        <v>20</v>
      </c>
      <c r="G9" s="63">
        <f t="shared" si="2"/>
        <v>80</v>
      </c>
      <c r="H9" s="64">
        <v>3</v>
      </c>
      <c r="I9" s="108">
        <f t="shared" si="3"/>
        <v>6000</v>
      </c>
      <c r="J9" s="172">
        <f t="shared" si="4"/>
        <v>1200</v>
      </c>
      <c r="K9" s="108">
        <f t="shared" si="5"/>
        <v>4800</v>
      </c>
      <c r="L9" s="173">
        <f t="shared" ref="L9:N9" si="9">H9/12</f>
        <v>0.25</v>
      </c>
      <c r="M9" s="174">
        <f t="shared" si="9"/>
        <v>500</v>
      </c>
      <c r="N9" s="171">
        <f t="shared" si="9"/>
        <v>100</v>
      </c>
      <c r="O9" s="113"/>
      <c r="P9" s="113"/>
    </row>
    <row r="10" s="33" customFormat="1" ht="15.75" spans="1:16">
      <c r="A10" s="58">
        <v>5</v>
      </c>
      <c r="B10" s="59" t="s">
        <v>21</v>
      </c>
      <c r="C10" s="60">
        <v>7500</v>
      </c>
      <c r="D10" s="60">
        <v>1500</v>
      </c>
      <c r="E10" s="61">
        <f t="shared" si="0"/>
        <v>6000</v>
      </c>
      <c r="F10" s="62">
        <f t="shared" si="1"/>
        <v>20</v>
      </c>
      <c r="G10" s="63">
        <f t="shared" si="2"/>
        <v>80</v>
      </c>
      <c r="H10" s="64">
        <v>3</v>
      </c>
      <c r="I10" s="108">
        <f t="shared" si="3"/>
        <v>22500</v>
      </c>
      <c r="J10" s="172">
        <f t="shared" si="4"/>
        <v>4500</v>
      </c>
      <c r="K10" s="108">
        <f t="shared" si="5"/>
        <v>18000</v>
      </c>
      <c r="L10" s="173">
        <f t="shared" ref="L10:N10" si="10">H10/12</f>
        <v>0.25</v>
      </c>
      <c r="M10" s="174">
        <f t="shared" si="10"/>
        <v>1875</v>
      </c>
      <c r="N10" s="171">
        <f t="shared" si="10"/>
        <v>375</v>
      </c>
      <c r="O10" s="113"/>
      <c r="P10" s="113"/>
    </row>
    <row r="11" s="33" customFormat="1" ht="15.75" spans="1:16">
      <c r="A11" s="58">
        <v>6</v>
      </c>
      <c r="B11" s="59" t="s">
        <v>22</v>
      </c>
      <c r="C11" s="60">
        <v>9000</v>
      </c>
      <c r="D11" s="60">
        <v>1800</v>
      </c>
      <c r="E11" s="61">
        <f t="shared" si="0"/>
        <v>7200</v>
      </c>
      <c r="F11" s="62">
        <f t="shared" si="1"/>
        <v>20</v>
      </c>
      <c r="G11" s="63">
        <f t="shared" si="2"/>
        <v>80</v>
      </c>
      <c r="H11" s="64">
        <v>3</v>
      </c>
      <c r="I11" s="108">
        <f t="shared" si="3"/>
        <v>27000</v>
      </c>
      <c r="J11" s="172">
        <f t="shared" si="4"/>
        <v>5400</v>
      </c>
      <c r="K11" s="108">
        <f t="shared" si="5"/>
        <v>21600</v>
      </c>
      <c r="L11" s="173">
        <f t="shared" ref="L11:N11" si="11">H11/12</f>
        <v>0.25</v>
      </c>
      <c r="M11" s="174">
        <f t="shared" si="11"/>
        <v>2250</v>
      </c>
      <c r="N11" s="171">
        <f t="shared" si="11"/>
        <v>450</v>
      </c>
      <c r="O11" s="113"/>
      <c r="P11" s="113"/>
    </row>
    <row r="12" s="33" customFormat="1" ht="15.75" spans="1:16">
      <c r="A12" s="58">
        <v>7</v>
      </c>
      <c r="B12" s="59" t="s">
        <v>23</v>
      </c>
      <c r="C12" s="60">
        <v>5000</v>
      </c>
      <c r="D12" s="60">
        <v>1000</v>
      </c>
      <c r="E12" s="61">
        <f t="shared" si="0"/>
        <v>4000</v>
      </c>
      <c r="F12" s="62">
        <f t="shared" si="1"/>
        <v>20</v>
      </c>
      <c r="G12" s="63">
        <f t="shared" si="2"/>
        <v>80</v>
      </c>
      <c r="H12" s="64">
        <v>6</v>
      </c>
      <c r="I12" s="108">
        <f t="shared" si="3"/>
        <v>30000</v>
      </c>
      <c r="J12" s="172">
        <f t="shared" si="4"/>
        <v>6000</v>
      </c>
      <c r="K12" s="108">
        <f t="shared" si="5"/>
        <v>24000</v>
      </c>
      <c r="L12" s="173">
        <f t="shared" ref="L12:N12" si="12">H12/12</f>
        <v>0.5</v>
      </c>
      <c r="M12" s="174">
        <f t="shared" si="12"/>
        <v>2500</v>
      </c>
      <c r="N12" s="171">
        <f t="shared" si="12"/>
        <v>500</v>
      </c>
      <c r="O12" s="113"/>
      <c r="P12" s="113"/>
    </row>
    <row r="13" s="33" customFormat="1" ht="15.75" spans="1:16">
      <c r="A13" s="65"/>
      <c r="B13" s="66"/>
      <c r="C13" s="67"/>
      <c r="D13" s="67"/>
      <c r="E13" s="68"/>
      <c r="F13" s="69"/>
      <c r="G13" s="70"/>
      <c r="H13" s="71"/>
      <c r="I13" s="175"/>
      <c r="J13" s="176"/>
      <c r="K13" s="175"/>
      <c r="L13" s="173">
        <f>H13/12</f>
        <v>0</v>
      </c>
      <c r="M13" s="174"/>
      <c r="N13" s="171"/>
      <c r="O13" s="113"/>
      <c r="P13" s="113"/>
    </row>
    <row r="14" s="33" customFormat="1" ht="16.5" spans="1:16">
      <c r="A14" s="65"/>
      <c r="B14" s="66"/>
      <c r="C14" s="72"/>
      <c r="D14" s="72"/>
      <c r="E14" s="73"/>
      <c r="F14" s="74"/>
      <c r="G14" s="75"/>
      <c r="H14" s="76"/>
      <c r="I14" s="177"/>
      <c r="J14" s="178"/>
      <c r="K14" s="177"/>
      <c r="L14" s="179">
        <f>H14/12</f>
        <v>0</v>
      </c>
      <c r="M14" s="180"/>
      <c r="N14" s="181"/>
      <c r="O14" s="113"/>
      <c r="P14" s="113"/>
    </row>
    <row r="15" s="35" customFormat="1" ht="26.25" spans="1:16">
      <c r="A15" s="77"/>
      <c r="B15" s="78"/>
      <c r="C15" s="79"/>
      <c r="D15" s="79"/>
      <c r="E15" s="80"/>
      <c r="F15" s="80"/>
      <c r="G15" s="81" t="s">
        <v>24</v>
      </c>
      <c r="H15" s="82">
        <f t="shared" ref="H15:N15" si="13">SUM(H6:H14)</f>
        <v>33</v>
      </c>
      <c r="I15" s="182">
        <f t="shared" si="13"/>
        <v>290500</v>
      </c>
      <c r="J15" s="183">
        <f t="shared" si="13"/>
        <v>58100</v>
      </c>
      <c r="K15" s="182">
        <f t="shared" si="13"/>
        <v>232400</v>
      </c>
      <c r="L15" s="184">
        <f t="shared" si="13"/>
        <v>2.75</v>
      </c>
      <c r="M15" s="185">
        <f t="shared" si="13"/>
        <v>24208.3333333333</v>
      </c>
      <c r="N15" s="186">
        <f t="shared" si="13"/>
        <v>4841.66666666667</v>
      </c>
      <c r="O15" s="187"/>
      <c r="P15" s="187"/>
    </row>
    <row r="17" ht="15" spans="6:6">
      <c r="F17" s="83"/>
    </row>
    <row r="18" s="36" customFormat="1" ht="64" customHeight="1" spans="1:14">
      <c r="A18" s="84" t="s">
        <v>25</v>
      </c>
      <c r="B18" s="85"/>
      <c r="C18" s="85"/>
      <c r="D18" s="86"/>
      <c r="E18" s="87" t="s">
        <v>3</v>
      </c>
      <c r="F18" s="88" t="s">
        <v>97</v>
      </c>
      <c r="G18" s="89" t="s">
        <v>98</v>
      </c>
      <c r="H18" s="90" t="s">
        <v>99</v>
      </c>
      <c r="I18" s="188" t="s">
        <v>100</v>
      </c>
      <c r="J18" s="188" t="s">
        <v>101</v>
      </c>
      <c r="K18" s="188" t="s">
        <v>102</v>
      </c>
      <c r="L18" s="188" t="s">
        <v>103</v>
      </c>
      <c r="M18" s="188" t="s">
        <v>104</v>
      </c>
      <c r="N18" s="188" t="s">
        <v>105</v>
      </c>
    </row>
    <row r="19" s="37" customFormat="1" ht="48" spans="1:14">
      <c r="A19" s="91" t="s">
        <v>27</v>
      </c>
      <c r="B19" s="92" t="s">
        <v>28</v>
      </c>
      <c r="C19" s="93" t="s">
        <v>29</v>
      </c>
      <c r="D19" s="94" t="s">
        <v>30</v>
      </c>
      <c r="E19" s="95">
        <v>2019</v>
      </c>
      <c r="F19" s="96">
        <f>C25</f>
        <v>12000</v>
      </c>
      <c r="G19" s="97">
        <f>F19*12</f>
        <v>144000</v>
      </c>
      <c r="H19" s="98">
        <v>30000</v>
      </c>
      <c r="I19" s="189">
        <f>1-J19</f>
        <v>0.2</v>
      </c>
      <c r="J19" s="190">
        <v>0.8</v>
      </c>
      <c r="K19" s="190">
        <f>D25</f>
        <v>144000</v>
      </c>
      <c r="L19" s="190">
        <f>K19+H19</f>
        <v>174000</v>
      </c>
      <c r="M19" s="190">
        <f>L19/J19</f>
        <v>217500</v>
      </c>
      <c r="N19" s="190">
        <f>M19/12</f>
        <v>18125</v>
      </c>
    </row>
    <row r="20" s="33" customFormat="1" ht="15.75" spans="1:14">
      <c r="A20" s="51"/>
      <c r="B20" s="99" t="s">
        <v>33</v>
      </c>
      <c r="C20" s="100">
        <v>8000</v>
      </c>
      <c r="D20" s="101">
        <f t="shared" ref="D20:D23" si="14">C20*12</f>
        <v>96000</v>
      </c>
      <c r="E20" s="102"/>
      <c r="F20" s="103"/>
      <c r="G20" s="104"/>
      <c r="H20" s="105"/>
      <c r="I20" s="191"/>
      <c r="J20" s="192"/>
      <c r="K20" s="192"/>
      <c r="L20" s="192"/>
      <c r="M20" s="192"/>
      <c r="N20" s="192"/>
    </row>
    <row r="21" s="33" customFormat="1" ht="16.5" spans="1:14">
      <c r="A21" s="58"/>
      <c r="B21" s="106" t="s">
        <v>34</v>
      </c>
      <c r="C21" s="107">
        <v>1000</v>
      </c>
      <c r="D21" s="108">
        <f t="shared" si="14"/>
        <v>12000</v>
      </c>
      <c r="E21" s="109"/>
      <c r="F21" s="110"/>
      <c r="G21" s="111"/>
      <c r="H21" s="112"/>
      <c r="I21" s="112"/>
      <c r="J21" s="111"/>
      <c r="K21" s="111"/>
      <c r="L21" s="111"/>
      <c r="M21" s="111"/>
      <c r="N21" s="111"/>
    </row>
    <row r="22" s="33" customFormat="1" ht="15.75" spans="1:16">
      <c r="A22" s="58"/>
      <c r="B22" s="106" t="s">
        <v>35</v>
      </c>
      <c r="C22" s="107">
        <v>1000</v>
      </c>
      <c r="D22" s="108">
        <f t="shared" si="14"/>
        <v>12000</v>
      </c>
      <c r="E22" s="113"/>
      <c r="F22" s="114"/>
      <c r="G22" s="113"/>
      <c r="H22" s="113"/>
      <c r="I22" s="113"/>
      <c r="J22" s="113"/>
      <c r="K22" s="113"/>
      <c r="L22" s="113"/>
      <c r="M22" s="113"/>
      <c r="N22" s="113"/>
      <c r="O22" s="113"/>
      <c r="P22" s="113"/>
    </row>
    <row r="23" ht="18" spans="1:11">
      <c r="A23" s="115"/>
      <c r="B23" s="116" t="s">
        <v>36</v>
      </c>
      <c r="C23" s="117">
        <v>2000</v>
      </c>
      <c r="D23" s="118">
        <f t="shared" si="14"/>
        <v>24000</v>
      </c>
      <c r="F23" s="119"/>
      <c r="G23" s="119"/>
      <c r="H23" s="119"/>
      <c r="I23" s="119"/>
      <c r="J23" s="119"/>
      <c r="K23" s="193"/>
    </row>
    <row r="24" ht="15.75" spans="1:11">
      <c r="A24" s="115"/>
      <c r="B24" s="116"/>
      <c r="C24" s="117"/>
      <c r="D24" s="118"/>
      <c r="F24" s="120"/>
      <c r="G24" s="121"/>
      <c r="H24" s="121"/>
      <c r="I24" s="121"/>
      <c r="J24" s="121"/>
      <c r="K24" s="193"/>
    </row>
    <row r="25" s="38" customFormat="1" ht="26.25" spans="1:16">
      <c r="A25" s="122"/>
      <c r="B25" s="123" t="s">
        <v>40</v>
      </c>
      <c r="C25" s="124">
        <f>SUM(C20:C24)</f>
        <v>12000</v>
      </c>
      <c r="D25" s="125">
        <f>SUM(D20:D24)</f>
        <v>144000</v>
      </c>
      <c r="E25" s="126"/>
      <c r="F25" s="127"/>
      <c r="G25" s="128"/>
      <c r="H25" s="128"/>
      <c r="I25" s="128"/>
      <c r="J25" s="194"/>
      <c r="K25" s="127"/>
      <c r="L25" s="126"/>
      <c r="M25" s="126"/>
      <c r="N25" s="126"/>
      <c r="O25" s="126"/>
      <c r="P25" s="126"/>
    </row>
    <row r="28" spans="3:5">
      <c r="C28" s="129"/>
      <c r="D28" s="129"/>
      <c r="E28" s="129"/>
    </row>
    <row r="29" s="39" customFormat="1" ht="24" spans="1:16">
      <c r="A29" s="41" t="s">
        <v>106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</row>
    <row r="30" s="37" customFormat="1" ht="63.75" spans="1:16">
      <c r="A30" s="130"/>
      <c r="B30" s="131" t="s">
        <v>42</v>
      </c>
      <c r="C30" s="132"/>
      <c r="D30" s="133" t="s">
        <v>43</v>
      </c>
      <c r="E30" s="134" t="s">
        <v>44</v>
      </c>
      <c r="F30" s="134" t="s">
        <v>45</v>
      </c>
      <c r="G30" s="134" t="s">
        <v>46</v>
      </c>
      <c r="H30" s="134" t="s">
        <v>47</v>
      </c>
      <c r="I30" s="134" t="s">
        <v>48</v>
      </c>
      <c r="J30" s="134" t="s">
        <v>49</v>
      </c>
      <c r="K30" s="134" t="s">
        <v>50</v>
      </c>
      <c r="L30" s="134" t="s">
        <v>51</v>
      </c>
      <c r="M30" s="134" t="s">
        <v>52</v>
      </c>
      <c r="N30" s="134" t="s">
        <v>53</v>
      </c>
      <c r="O30" s="195" t="s">
        <v>54</v>
      </c>
      <c r="P30" s="196" t="s">
        <v>55</v>
      </c>
    </row>
    <row r="31" s="37" customFormat="1" ht="16.5" spans="1:16">
      <c r="A31" s="91"/>
      <c r="B31" s="135" t="s">
        <v>107</v>
      </c>
      <c r="C31" s="136"/>
      <c r="D31" s="137">
        <f>N19</f>
        <v>18125</v>
      </c>
      <c r="E31" s="137">
        <f>N19</f>
        <v>18125</v>
      </c>
      <c r="F31" s="137">
        <f>N19</f>
        <v>18125</v>
      </c>
      <c r="G31" s="137">
        <f>N19</f>
        <v>18125</v>
      </c>
      <c r="H31" s="137">
        <f>N19</f>
        <v>18125</v>
      </c>
      <c r="I31" s="137">
        <f>N19</f>
        <v>18125</v>
      </c>
      <c r="J31" s="137">
        <f>N19</f>
        <v>18125</v>
      </c>
      <c r="K31" s="137">
        <f>N19</f>
        <v>18125</v>
      </c>
      <c r="L31" s="137">
        <f>N19</f>
        <v>18125</v>
      </c>
      <c r="M31" s="137">
        <f>N19</f>
        <v>18125</v>
      </c>
      <c r="N31" s="137">
        <f>N19</f>
        <v>18125</v>
      </c>
      <c r="O31" s="137">
        <f>N19</f>
        <v>18125</v>
      </c>
      <c r="P31" s="197">
        <f>SUM(D31:O31)</f>
        <v>217500</v>
      </c>
    </row>
    <row r="32" s="33" customFormat="1" ht="15.75" spans="1:16">
      <c r="A32" s="138"/>
      <c r="B32" s="139" t="s">
        <v>56</v>
      </c>
      <c r="C32" s="140"/>
      <c r="D32" s="141">
        <v>27000</v>
      </c>
      <c r="E32" s="141">
        <v>33000</v>
      </c>
      <c r="F32" s="141">
        <v>26041.67</v>
      </c>
      <c r="G32" s="141">
        <v>22000</v>
      </c>
      <c r="H32" s="141">
        <v>22000</v>
      </c>
      <c r="I32" s="141">
        <v>22000</v>
      </c>
      <c r="J32" s="141">
        <v>22000</v>
      </c>
      <c r="K32" s="141">
        <v>22000</v>
      </c>
      <c r="L32" s="141">
        <v>22000</v>
      </c>
      <c r="M32" s="141">
        <v>22000</v>
      </c>
      <c r="N32" s="141">
        <v>22000</v>
      </c>
      <c r="O32" s="141">
        <v>22000</v>
      </c>
      <c r="P32" s="198">
        <f>SUM(D32:O32)</f>
        <v>284041.67</v>
      </c>
    </row>
    <row r="33" s="40" customFormat="1" ht="15.75" spans="1:16">
      <c r="A33" s="142"/>
      <c r="B33" s="143" t="s">
        <v>108</v>
      </c>
      <c r="C33" s="144"/>
      <c r="D33" s="145">
        <f>D32-D31</f>
        <v>8875</v>
      </c>
      <c r="E33" s="145">
        <f>E32-E34</f>
        <v>23750</v>
      </c>
      <c r="F33" s="145">
        <f>F32-F34</f>
        <v>31666.67</v>
      </c>
      <c r="G33" s="145"/>
      <c r="H33" s="145"/>
      <c r="I33" s="145"/>
      <c r="J33" s="145"/>
      <c r="K33" s="145"/>
      <c r="L33" s="145"/>
      <c r="M33" s="145"/>
      <c r="N33" s="145"/>
      <c r="O33" s="199"/>
      <c r="P33" s="200"/>
    </row>
    <row r="34" s="40" customFormat="1" ht="15.75" spans="1:16">
      <c r="A34" s="142"/>
      <c r="B34" s="146" t="s">
        <v>109</v>
      </c>
      <c r="C34" s="147"/>
      <c r="D34" s="145"/>
      <c r="E34" s="145">
        <f>E31+(-D33)</f>
        <v>9250</v>
      </c>
      <c r="F34" s="145">
        <f>F31+(-E33)</f>
        <v>-5625</v>
      </c>
      <c r="G34" s="145"/>
      <c r="H34" s="145"/>
      <c r="I34" s="145"/>
      <c r="J34" s="145"/>
      <c r="K34" s="145"/>
      <c r="L34" s="145"/>
      <c r="M34" s="145"/>
      <c r="N34" s="145"/>
      <c r="O34" s="199"/>
      <c r="P34" s="200"/>
    </row>
    <row r="35" s="40" customFormat="1" ht="15.75" spans="1:16">
      <c r="A35" s="142"/>
      <c r="B35" s="146"/>
      <c r="C35" s="147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201"/>
      <c r="P35" s="202"/>
    </row>
    <row r="36" s="40" customFormat="1" ht="15.75" spans="1:16">
      <c r="A36" s="142"/>
      <c r="B36" s="146" t="s">
        <v>110</v>
      </c>
      <c r="C36" s="147"/>
      <c r="D36" s="148">
        <f>D31*I19</f>
        <v>3625</v>
      </c>
      <c r="E36" s="148">
        <f>E31*I19</f>
        <v>3625</v>
      </c>
      <c r="F36" s="148">
        <f>F31*I19</f>
        <v>3625</v>
      </c>
      <c r="G36" s="148">
        <f>G31*I19</f>
        <v>3625</v>
      </c>
      <c r="H36" s="148">
        <f>H31*I19</f>
        <v>3625</v>
      </c>
      <c r="I36" s="148">
        <f>I31*I19</f>
        <v>3625</v>
      </c>
      <c r="J36" s="148">
        <f>J31*I19</f>
        <v>3625</v>
      </c>
      <c r="K36" s="148">
        <f>K31*I19</f>
        <v>3625</v>
      </c>
      <c r="L36" s="148">
        <f>L31*I19</f>
        <v>3625</v>
      </c>
      <c r="M36" s="148">
        <f>M31*I19</f>
        <v>3625</v>
      </c>
      <c r="N36" s="148">
        <f>N31*I19</f>
        <v>3625</v>
      </c>
      <c r="O36" s="201">
        <f>O31*I19</f>
        <v>3625</v>
      </c>
      <c r="P36" s="202">
        <f>SUM(D36:O36)</f>
        <v>43500</v>
      </c>
    </row>
    <row r="37" s="40" customFormat="1" ht="15.75" spans="1:16">
      <c r="A37" s="142"/>
      <c r="B37" s="146" t="s">
        <v>111</v>
      </c>
      <c r="C37" s="147"/>
      <c r="D37" s="149">
        <f>D32*I19</f>
        <v>5400</v>
      </c>
      <c r="E37" s="149">
        <f>E32*I19</f>
        <v>6600</v>
      </c>
      <c r="F37" s="149">
        <f>F32*I19</f>
        <v>5208.334</v>
      </c>
      <c r="G37" s="149">
        <f>G32*I19</f>
        <v>4400</v>
      </c>
      <c r="H37" s="149">
        <f>H32*I19</f>
        <v>4400</v>
      </c>
      <c r="I37" s="149">
        <f>I32*I19</f>
        <v>4400</v>
      </c>
      <c r="J37" s="149">
        <f>J32*I19</f>
        <v>4400</v>
      </c>
      <c r="K37" s="149">
        <f>K32*I19</f>
        <v>4400</v>
      </c>
      <c r="L37" s="149">
        <f>L32*I19</f>
        <v>4400</v>
      </c>
      <c r="M37" s="149">
        <f>M32*I19</f>
        <v>4400</v>
      </c>
      <c r="N37" s="149">
        <f>N32*I19</f>
        <v>4400</v>
      </c>
      <c r="O37" s="203">
        <f>O32*I19</f>
        <v>4400</v>
      </c>
      <c r="P37" s="198">
        <f>SUM(D37:O37)</f>
        <v>56808.334</v>
      </c>
    </row>
    <row r="38" s="40" customFormat="1" ht="15.75" spans="1:16">
      <c r="A38" s="142"/>
      <c r="B38" s="146"/>
      <c r="C38" s="147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201"/>
      <c r="P38" s="202"/>
    </row>
    <row r="39" s="40" customFormat="1" ht="15.75" spans="1:16">
      <c r="A39" s="142"/>
      <c r="B39" s="146" t="s">
        <v>112</v>
      </c>
      <c r="C39" s="147"/>
      <c r="D39" s="148">
        <f t="shared" ref="D39:O39" si="15">D32-D37</f>
        <v>21600</v>
      </c>
      <c r="E39" s="148">
        <f t="shared" si="15"/>
        <v>26400</v>
      </c>
      <c r="F39" s="148">
        <f t="shared" si="15"/>
        <v>20833.336</v>
      </c>
      <c r="G39" s="148">
        <f t="shared" si="15"/>
        <v>17600</v>
      </c>
      <c r="H39" s="148">
        <f t="shared" si="15"/>
        <v>17600</v>
      </c>
      <c r="I39" s="148">
        <f t="shared" si="15"/>
        <v>17600</v>
      </c>
      <c r="J39" s="148">
        <f t="shared" si="15"/>
        <v>17600</v>
      </c>
      <c r="K39" s="148">
        <f t="shared" si="15"/>
        <v>17600</v>
      </c>
      <c r="L39" s="148">
        <f t="shared" si="15"/>
        <v>17600</v>
      </c>
      <c r="M39" s="148">
        <f t="shared" si="15"/>
        <v>17600</v>
      </c>
      <c r="N39" s="148">
        <f t="shared" si="15"/>
        <v>17600</v>
      </c>
      <c r="O39" s="201">
        <f t="shared" si="15"/>
        <v>17600</v>
      </c>
      <c r="P39" s="202">
        <f>SUM(D39:O39)</f>
        <v>227233.336</v>
      </c>
    </row>
    <row r="40" s="40" customFormat="1" ht="15.75" spans="1:16">
      <c r="A40" s="142"/>
      <c r="B40" s="146"/>
      <c r="C40" s="147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201"/>
      <c r="P40" s="202"/>
    </row>
    <row r="41" s="33" customFormat="1" ht="15.75" spans="1:16">
      <c r="A41" s="58"/>
      <c r="B41" s="150" t="s">
        <v>113</v>
      </c>
      <c r="C41" s="151"/>
      <c r="D41" s="152">
        <f>F19</f>
        <v>12000</v>
      </c>
      <c r="E41" s="153">
        <f>F19</f>
        <v>12000</v>
      </c>
      <c r="F41" s="153">
        <f>F19</f>
        <v>12000</v>
      </c>
      <c r="G41" s="153">
        <f>F19</f>
        <v>12000</v>
      </c>
      <c r="H41" s="153">
        <f>F19</f>
        <v>12000</v>
      </c>
      <c r="I41" s="153">
        <f>F19</f>
        <v>12000</v>
      </c>
      <c r="J41" s="153">
        <f>F19</f>
        <v>12000</v>
      </c>
      <c r="K41" s="153">
        <f>F19</f>
        <v>12000</v>
      </c>
      <c r="L41" s="153">
        <f>F19</f>
        <v>12000</v>
      </c>
      <c r="M41" s="153">
        <f>F19</f>
        <v>12000</v>
      </c>
      <c r="N41" s="153">
        <f>F19</f>
        <v>12000</v>
      </c>
      <c r="O41" s="204">
        <f>F19</f>
        <v>12000</v>
      </c>
      <c r="P41" s="205">
        <f>SUM(D41:O41)</f>
        <v>144000</v>
      </c>
    </row>
    <row r="42" s="33" customFormat="1" ht="15.75" spans="1:16">
      <c r="A42" s="65"/>
      <c r="B42" s="154" t="s">
        <v>114</v>
      </c>
      <c r="C42" s="155"/>
      <c r="D42" s="156">
        <v>1000</v>
      </c>
      <c r="E42" s="156">
        <v>1000</v>
      </c>
      <c r="F42" s="156">
        <v>1000</v>
      </c>
      <c r="G42" s="156">
        <v>1000</v>
      </c>
      <c r="H42" s="156">
        <v>1000</v>
      </c>
      <c r="I42" s="156">
        <v>1000</v>
      </c>
      <c r="J42" s="156">
        <v>1000</v>
      </c>
      <c r="K42" s="156">
        <v>1000</v>
      </c>
      <c r="L42" s="156">
        <v>1000</v>
      </c>
      <c r="M42" s="156">
        <v>1000</v>
      </c>
      <c r="N42" s="156">
        <v>1000</v>
      </c>
      <c r="O42" s="156">
        <v>1000</v>
      </c>
      <c r="P42" s="206"/>
    </row>
    <row r="43" s="33" customFormat="1" ht="15.75" spans="1:16">
      <c r="A43" s="65"/>
      <c r="B43" s="154"/>
      <c r="C43" s="155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207"/>
      <c r="P43" s="206"/>
    </row>
    <row r="44" s="33" customFormat="1" ht="16.5" spans="1:16">
      <c r="A44" s="157"/>
      <c r="B44" s="158" t="s">
        <v>115</v>
      </c>
      <c r="C44" s="159"/>
      <c r="D44" s="160">
        <f>D39-D41-D42</f>
        <v>8600</v>
      </c>
      <c r="E44" s="161">
        <f t="shared" ref="D44:O44" si="16">E39-E41</f>
        <v>14400</v>
      </c>
      <c r="F44" s="161">
        <f t="shared" si="16"/>
        <v>8833.336</v>
      </c>
      <c r="G44" s="161">
        <f t="shared" si="16"/>
        <v>5600</v>
      </c>
      <c r="H44" s="161">
        <f t="shared" si="16"/>
        <v>5600</v>
      </c>
      <c r="I44" s="161">
        <f t="shared" si="16"/>
        <v>5600</v>
      </c>
      <c r="J44" s="161">
        <f t="shared" si="16"/>
        <v>5600</v>
      </c>
      <c r="K44" s="161">
        <f t="shared" si="16"/>
        <v>5600</v>
      </c>
      <c r="L44" s="161">
        <f t="shared" si="16"/>
        <v>5600</v>
      </c>
      <c r="M44" s="161">
        <f t="shared" si="16"/>
        <v>5600</v>
      </c>
      <c r="N44" s="161">
        <f t="shared" si="16"/>
        <v>5600</v>
      </c>
      <c r="O44" s="161">
        <f t="shared" si="16"/>
        <v>5600</v>
      </c>
      <c r="P44" s="208">
        <f>SUM(D44:O44)</f>
        <v>82233.336</v>
      </c>
    </row>
  </sheetData>
  <mergeCells count="20">
    <mergeCell ref="A3:N3"/>
    <mergeCell ref="A4:G4"/>
    <mergeCell ref="H4:N4"/>
    <mergeCell ref="A18:D18"/>
    <mergeCell ref="F23:J23"/>
    <mergeCell ref="A29:P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</mergeCells>
  <pageMargins left="0.75" right="0.75" top="1" bottom="1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42"/>
  <sheetViews>
    <sheetView workbookViewId="0">
      <selection activeCell="J32" sqref="J32"/>
    </sheetView>
  </sheetViews>
  <sheetFormatPr defaultColWidth="8.89380530973451" defaultRowHeight="14.25"/>
  <cols>
    <col min="2" max="2" width="28.7610619469027" customWidth="1"/>
    <col min="4" max="5" width="8.89380530973451" style="2"/>
    <col min="7" max="7" width="30.7522123893805" customWidth="1"/>
    <col min="9" max="10" width="10.4159292035398" style="3"/>
    <col min="12" max="12" width="32.5221238938053" customWidth="1"/>
    <col min="13" max="13" width="9.79646017699115" customWidth="1"/>
  </cols>
  <sheetData>
    <row r="2" s="1" customFormat="1" spans="2:15">
      <c r="B2" s="2" t="s">
        <v>116</v>
      </c>
      <c r="C2" s="2"/>
      <c r="D2" s="2"/>
      <c r="E2" s="2"/>
      <c r="G2" s="4" t="s">
        <v>117</v>
      </c>
      <c r="H2" s="4"/>
      <c r="I2" s="4"/>
      <c r="J2" s="4"/>
      <c r="L2" s="4" t="s">
        <v>118</v>
      </c>
      <c r="M2" s="4"/>
      <c r="N2" s="4"/>
      <c r="O2" s="4"/>
    </row>
    <row r="3" ht="15"/>
    <row r="4" s="1" customFormat="1" ht="15" spans="2:15">
      <c r="B4" s="5"/>
      <c r="C4" s="6"/>
      <c r="D4" s="7" t="s">
        <v>119</v>
      </c>
      <c r="E4" s="8" t="s">
        <v>120</v>
      </c>
      <c r="G4" s="5"/>
      <c r="H4" s="6"/>
      <c r="I4" s="21" t="s">
        <v>119</v>
      </c>
      <c r="J4" s="22" t="s">
        <v>120</v>
      </c>
      <c r="L4" s="5"/>
      <c r="M4" s="6"/>
      <c r="N4" s="22" t="s">
        <v>119</v>
      </c>
      <c r="O4" s="23" t="s">
        <v>120</v>
      </c>
    </row>
    <row r="5" spans="2:15">
      <c r="B5" s="9"/>
      <c r="D5" s="10"/>
      <c r="E5" s="11"/>
      <c r="G5" s="9"/>
      <c r="I5" s="24"/>
      <c r="J5" s="25"/>
      <c r="L5" s="9"/>
      <c r="N5" s="26"/>
      <c r="O5" s="27"/>
    </row>
    <row r="6" spans="2:15">
      <c r="B6" s="9" t="s">
        <v>121</v>
      </c>
      <c r="D6" s="10"/>
      <c r="E6" s="11"/>
      <c r="G6" s="12" t="s">
        <v>122</v>
      </c>
      <c r="I6" s="24"/>
      <c r="J6" s="25"/>
      <c r="L6" s="9" t="s">
        <v>123</v>
      </c>
      <c r="N6" s="26"/>
      <c r="O6" s="27"/>
    </row>
    <row r="7" spans="2:15">
      <c r="B7" s="9"/>
      <c r="D7" s="10"/>
      <c r="E7" s="11"/>
      <c r="G7" s="9" t="s">
        <v>123</v>
      </c>
      <c r="I7" s="24"/>
      <c r="J7" s="25"/>
      <c r="L7" s="9" t="s">
        <v>124</v>
      </c>
      <c r="N7" s="26"/>
      <c r="O7" s="27"/>
    </row>
    <row r="8" spans="2:15">
      <c r="B8" s="9" t="s">
        <v>125</v>
      </c>
      <c r="D8" s="10"/>
      <c r="E8" s="11"/>
      <c r="G8" s="9" t="s">
        <v>126</v>
      </c>
      <c r="I8" s="24"/>
      <c r="J8" s="25"/>
      <c r="L8" s="9" t="s">
        <v>127</v>
      </c>
      <c r="N8" s="26"/>
      <c r="O8" s="27"/>
    </row>
    <row r="9" spans="2:15">
      <c r="B9" s="9"/>
      <c r="D9" s="10"/>
      <c r="E9" s="11"/>
      <c r="G9" s="9" t="s">
        <v>124</v>
      </c>
      <c r="I9" s="24"/>
      <c r="J9" s="25"/>
      <c r="L9" s="9" t="s">
        <v>128</v>
      </c>
      <c r="N9" s="26"/>
      <c r="O9" s="27"/>
    </row>
    <row r="10" spans="2:15">
      <c r="B10" s="9" t="s">
        <v>129</v>
      </c>
      <c r="D10" s="10"/>
      <c r="E10" s="11"/>
      <c r="G10" s="9" t="s">
        <v>126</v>
      </c>
      <c r="I10" s="24"/>
      <c r="J10" s="25"/>
      <c r="L10" s="9" t="s">
        <v>130</v>
      </c>
      <c r="N10" s="26"/>
      <c r="O10" s="27"/>
    </row>
    <row r="11" spans="2:15">
      <c r="B11" s="9" t="s">
        <v>131</v>
      </c>
      <c r="D11" s="10"/>
      <c r="E11" s="11"/>
      <c r="G11" s="9" t="s">
        <v>127</v>
      </c>
      <c r="I11" s="24"/>
      <c r="J11" s="25"/>
      <c r="L11" s="9" t="s">
        <v>132</v>
      </c>
      <c r="N11" s="26"/>
      <c r="O11" s="27"/>
    </row>
    <row r="12" spans="2:15">
      <c r="B12" s="9" t="s">
        <v>133</v>
      </c>
      <c r="D12" s="10"/>
      <c r="E12" s="11"/>
      <c r="G12" s="9" t="s">
        <v>126</v>
      </c>
      <c r="I12" s="24"/>
      <c r="J12" s="25"/>
      <c r="L12" s="9" t="s">
        <v>134</v>
      </c>
      <c r="N12" s="26"/>
      <c r="O12" s="27"/>
    </row>
    <row r="13" spans="2:15">
      <c r="B13" s="9" t="s">
        <v>135</v>
      </c>
      <c r="D13" s="13"/>
      <c r="E13" s="11"/>
      <c r="G13" s="9"/>
      <c r="I13" s="24"/>
      <c r="J13" s="25"/>
      <c r="L13" s="9" t="s">
        <v>136</v>
      </c>
      <c r="N13" s="26"/>
      <c r="O13" s="27"/>
    </row>
    <row r="14" spans="2:15">
      <c r="B14" s="9"/>
      <c r="D14" s="10"/>
      <c r="E14" s="11"/>
      <c r="G14" s="9"/>
      <c r="I14" s="24"/>
      <c r="J14" s="25"/>
      <c r="L14" s="9" t="s">
        <v>137</v>
      </c>
      <c r="N14" s="26"/>
      <c r="O14" s="27"/>
    </row>
    <row r="15" spans="2:15">
      <c r="B15" s="9"/>
      <c r="D15" s="14"/>
      <c r="E15" s="15"/>
      <c r="G15" s="9"/>
      <c r="I15" s="24"/>
      <c r="J15" s="25"/>
      <c r="L15" s="9" t="s">
        <v>138</v>
      </c>
      <c r="N15" s="26"/>
      <c r="O15" s="27"/>
    </row>
    <row r="16" spans="2:15">
      <c r="B16" s="9"/>
      <c r="D16" s="10"/>
      <c r="E16" s="11"/>
      <c r="G16" s="12" t="s">
        <v>139</v>
      </c>
      <c r="I16" s="24"/>
      <c r="J16" s="25"/>
      <c r="L16" s="9" t="s">
        <v>140</v>
      </c>
      <c r="N16" s="26"/>
      <c r="O16" s="27"/>
    </row>
    <row r="17" spans="2:15">
      <c r="B17" s="12" t="s">
        <v>141</v>
      </c>
      <c r="D17" s="10"/>
      <c r="E17" s="11"/>
      <c r="G17" s="9" t="s">
        <v>128</v>
      </c>
      <c r="I17" s="24"/>
      <c r="J17" s="25"/>
      <c r="L17" s="9" t="s">
        <v>142</v>
      </c>
      <c r="N17" s="26"/>
      <c r="O17" s="27"/>
    </row>
    <row r="18" spans="2:15">
      <c r="B18" s="12"/>
      <c r="D18" s="10"/>
      <c r="E18" s="11"/>
      <c r="G18" s="9" t="s">
        <v>130</v>
      </c>
      <c r="I18" s="24"/>
      <c r="J18" s="25"/>
      <c r="L18" s="9" t="s">
        <v>143</v>
      </c>
      <c r="N18" s="26"/>
      <c r="O18" s="27"/>
    </row>
    <row r="19" spans="2:15">
      <c r="B19" s="9"/>
      <c r="D19" s="10"/>
      <c r="E19" s="11"/>
      <c r="G19" s="9" t="s">
        <v>132</v>
      </c>
      <c r="I19" s="24"/>
      <c r="J19" s="25"/>
      <c r="L19" s="9" t="s">
        <v>144</v>
      </c>
      <c r="N19" s="26"/>
      <c r="O19" s="27"/>
    </row>
    <row r="20" spans="2:15">
      <c r="B20" s="9" t="s">
        <v>145</v>
      </c>
      <c r="D20" s="10"/>
      <c r="E20" s="11"/>
      <c r="G20" s="9" t="s">
        <v>134</v>
      </c>
      <c r="I20" s="24">
        <v>10000</v>
      </c>
      <c r="J20" s="25"/>
      <c r="L20" s="9" t="s">
        <v>146</v>
      </c>
      <c r="N20" s="26"/>
      <c r="O20" s="27"/>
    </row>
    <row r="21" spans="2:15">
      <c r="B21" s="9"/>
      <c r="D21" s="10"/>
      <c r="E21" s="11"/>
      <c r="G21" s="9" t="s">
        <v>136</v>
      </c>
      <c r="I21" s="24"/>
      <c r="J21" s="25"/>
      <c r="L21" s="9" t="s">
        <v>147</v>
      </c>
      <c r="N21" s="26"/>
      <c r="O21" s="27"/>
    </row>
    <row r="22" spans="2:15">
      <c r="B22" s="9"/>
      <c r="D22" s="10"/>
      <c r="E22" s="11"/>
      <c r="G22" s="9" t="s">
        <v>137</v>
      </c>
      <c r="I22" s="24"/>
      <c r="J22" s="25"/>
      <c r="L22" s="9" t="s">
        <v>121</v>
      </c>
      <c r="N22" s="26"/>
      <c r="O22" s="27"/>
    </row>
    <row r="23" spans="2:15">
      <c r="B23" s="9"/>
      <c r="D23" s="10"/>
      <c r="E23" s="11"/>
      <c r="G23" s="9" t="s">
        <v>138</v>
      </c>
      <c r="I23" s="24"/>
      <c r="J23" s="25"/>
      <c r="L23" s="9" t="s">
        <v>129</v>
      </c>
      <c r="N23" s="26"/>
      <c r="O23" s="27"/>
    </row>
    <row r="24" spans="2:15">
      <c r="B24" s="12" t="s">
        <v>148</v>
      </c>
      <c r="D24" s="10"/>
      <c r="E24" s="11"/>
      <c r="G24" s="9"/>
      <c r="I24" s="24"/>
      <c r="J24" s="25"/>
      <c r="L24" s="9"/>
      <c r="N24" s="26"/>
      <c r="O24" s="27"/>
    </row>
    <row r="25" spans="2:15">
      <c r="B25" s="9"/>
      <c r="D25" s="10"/>
      <c r="E25" s="11"/>
      <c r="G25" s="9"/>
      <c r="I25" s="24"/>
      <c r="J25" s="25"/>
      <c r="L25" s="9"/>
      <c r="N25" s="26"/>
      <c r="O25" s="27"/>
    </row>
    <row r="26" spans="2:15">
      <c r="B26" s="9" t="s">
        <v>113</v>
      </c>
      <c r="D26" s="10"/>
      <c r="E26" s="11"/>
      <c r="G26" s="12" t="s">
        <v>149</v>
      </c>
      <c r="I26" s="24"/>
      <c r="J26" s="25"/>
      <c r="L26" s="9"/>
      <c r="N26" s="26"/>
      <c r="O26" s="27"/>
    </row>
    <row r="27" spans="2:15">
      <c r="B27" s="16" t="s">
        <v>150</v>
      </c>
      <c r="D27" s="10"/>
      <c r="E27" s="11"/>
      <c r="G27" s="9" t="s">
        <v>140</v>
      </c>
      <c r="I27" s="24"/>
      <c r="J27" s="25"/>
      <c r="L27" s="9"/>
      <c r="N27" s="26"/>
      <c r="O27" s="27"/>
    </row>
    <row r="28" spans="2:15">
      <c r="B28" s="16" t="s">
        <v>151</v>
      </c>
      <c r="D28" s="10"/>
      <c r="E28" s="11"/>
      <c r="G28" s="9" t="s">
        <v>142</v>
      </c>
      <c r="I28" s="24"/>
      <c r="J28" s="25"/>
      <c r="L28" s="9"/>
      <c r="N28" s="26"/>
      <c r="O28" s="27"/>
    </row>
    <row r="29" spans="2:15">
      <c r="B29" s="16" t="s">
        <v>152</v>
      </c>
      <c r="D29" s="10"/>
      <c r="E29" s="11"/>
      <c r="G29" s="9" t="s">
        <v>143</v>
      </c>
      <c r="I29" s="24"/>
      <c r="J29" s="25"/>
      <c r="L29" s="9"/>
      <c r="N29" s="26"/>
      <c r="O29" s="27"/>
    </row>
    <row r="30" spans="2:15">
      <c r="B30" s="16" t="s">
        <v>153</v>
      </c>
      <c r="D30" s="10"/>
      <c r="E30" s="11"/>
      <c r="G30" s="9" t="s">
        <v>144</v>
      </c>
      <c r="I30" s="24"/>
      <c r="J30" s="25"/>
      <c r="L30" s="9"/>
      <c r="N30" s="26"/>
      <c r="O30" s="27"/>
    </row>
    <row r="31" spans="2:15">
      <c r="B31" s="16" t="s">
        <v>154</v>
      </c>
      <c r="D31" s="10"/>
      <c r="E31" s="11"/>
      <c r="G31" s="9"/>
      <c r="I31" s="24"/>
      <c r="J31" s="25"/>
      <c r="L31" s="9"/>
      <c r="N31" s="26"/>
      <c r="O31" s="27"/>
    </row>
    <row r="32" spans="2:15">
      <c r="B32" s="16" t="s">
        <v>155</v>
      </c>
      <c r="D32" s="10"/>
      <c r="E32" s="11"/>
      <c r="G32" s="9" t="s">
        <v>156</v>
      </c>
      <c r="I32" s="24"/>
      <c r="J32" s="25"/>
      <c r="L32" s="9"/>
      <c r="N32" s="26"/>
      <c r="O32" s="27"/>
    </row>
    <row r="33" spans="2:15">
      <c r="B33" s="16" t="s">
        <v>157</v>
      </c>
      <c r="D33" s="10"/>
      <c r="E33" s="11"/>
      <c r="G33" s="9"/>
      <c r="I33" s="24"/>
      <c r="J33" s="25"/>
      <c r="L33" s="9"/>
      <c r="N33" s="26"/>
      <c r="O33" s="27"/>
    </row>
    <row r="34" spans="2:15">
      <c r="B34" s="16" t="s">
        <v>158</v>
      </c>
      <c r="D34" s="10"/>
      <c r="E34" s="11"/>
      <c r="G34" s="12" t="s">
        <v>159</v>
      </c>
      <c r="I34" s="24"/>
      <c r="J34" s="25"/>
      <c r="L34" s="9"/>
      <c r="N34" s="26"/>
      <c r="O34" s="27"/>
    </row>
    <row r="35" spans="2:15">
      <c r="B35" s="16" t="s">
        <v>160</v>
      </c>
      <c r="D35" s="10"/>
      <c r="E35" s="11"/>
      <c r="G35" s="9" t="s">
        <v>146</v>
      </c>
      <c r="I35" s="24"/>
      <c r="J35" s="25">
        <v>10000</v>
      </c>
      <c r="L35" s="9"/>
      <c r="N35" s="26"/>
      <c r="O35" s="27"/>
    </row>
    <row r="36" spans="2:15">
      <c r="B36" s="16" t="s">
        <v>161</v>
      </c>
      <c r="D36" s="10"/>
      <c r="E36" s="11"/>
      <c r="G36" s="9" t="s">
        <v>162</v>
      </c>
      <c r="I36" s="24"/>
      <c r="J36" s="25"/>
      <c r="L36" s="9"/>
      <c r="N36" s="26"/>
      <c r="O36" s="27"/>
    </row>
    <row r="37" spans="2:15">
      <c r="B37" s="16" t="s">
        <v>163</v>
      </c>
      <c r="D37" s="10"/>
      <c r="E37" s="11"/>
      <c r="G37" s="9" t="s">
        <v>147</v>
      </c>
      <c r="I37" s="24"/>
      <c r="J37" s="25"/>
      <c r="L37" s="9"/>
      <c r="N37" s="26"/>
      <c r="O37" s="27"/>
    </row>
    <row r="38" spans="2:15">
      <c r="B38" s="16" t="s">
        <v>164</v>
      </c>
      <c r="D38" s="10"/>
      <c r="E38" s="11"/>
      <c r="G38" s="9" t="s">
        <v>165</v>
      </c>
      <c r="I38" s="24"/>
      <c r="J38" s="25"/>
      <c r="L38" s="9"/>
      <c r="N38" s="26"/>
      <c r="O38" s="27"/>
    </row>
    <row r="39" spans="2:15">
      <c r="B39" s="9"/>
      <c r="D39" s="10"/>
      <c r="E39" s="11"/>
      <c r="G39" s="9"/>
      <c r="I39" s="24"/>
      <c r="J39" s="25"/>
      <c r="L39" s="9"/>
      <c r="N39" s="26"/>
      <c r="O39" s="27"/>
    </row>
    <row r="40" spans="2:15">
      <c r="B40" s="9"/>
      <c r="D40" s="10"/>
      <c r="E40" s="11"/>
      <c r="G40" s="9"/>
      <c r="I40" s="24"/>
      <c r="J40" s="25"/>
      <c r="L40" s="9"/>
      <c r="N40" s="26"/>
      <c r="O40" s="27"/>
    </row>
    <row r="41" spans="2:15">
      <c r="B41" s="12" t="s">
        <v>166</v>
      </c>
      <c r="D41" s="10"/>
      <c r="E41" s="11"/>
      <c r="G41" s="12" t="s">
        <v>167</v>
      </c>
      <c r="I41" s="24"/>
      <c r="J41" s="25"/>
      <c r="L41" s="9"/>
      <c r="N41" s="26"/>
      <c r="O41" s="27"/>
    </row>
    <row r="42" ht="15" spans="2:15">
      <c r="B42" s="17"/>
      <c r="C42" s="18"/>
      <c r="D42" s="19"/>
      <c r="E42" s="20"/>
      <c r="G42" s="17"/>
      <c r="H42" s="18"/>
      <c r="I42" s="28"/>
      <c r="J42" s="29"/>
      <c r="L42" s="17"/>
      <c r="M42" s="18"/>
      <c r="N42" s="30"/>
      <c r="O42" s="31"/>
    </row>
  </sheetData>
  <mergeCells count="3">
    <mergeCell ref="B2:E2"/>
    <mergeCell ref="G2:J2"/>
    <mergeCell ref="L2:O2"/>
  </mergeCells>
  <pageMargins left="0.75" right="0.75" top="1" bottom="1" header="0.511805555555556" footer="0.51180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N20" sqref="N20"/>
    </sheetView>
  </sheetViews>
  <sheetFormatPr defaultColWidth="8.89380530973451" defaultRowHeight="14.25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FORMULA KIRAAN SASARAN JUALAN</vt:lpstr>
      <vt:lpstr>Sheet1</vt:lpstr>
      <vt:lpstr>SALES TRACKING</vt:lpstr>
      <vt:lpstr>CASHFLOW_FINAL</vt:lpstr>
      <vt:lpstr>PROFIT&amp;LOST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Wardi Hilmi</dc:creator>
  <cp:lastModifiedBy>Mohd Wardi Hilmi</cp:lastModifiedBy>
  <dcterms:created xsi:type="dcterms:W3CDTF">2018-11-14T04:26:00Z</dcterms:created>
  <dcterms:modified xsi:type="dcterms:W3CDTF">2018-12-18T15:37:43Z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2057-10.2.0.7587</vt:lpwstr>
  </property>
</Properties>
</file>